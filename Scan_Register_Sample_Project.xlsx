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can Register" sheetId="2" state="visible" r:id="rId4"/>
    <sheet name="Summary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<sst xmlns="http://schemas.openxmlformats.org/spreadsheetml/2006/main" count="407" uniqueCount="164">
  <si>
    <t xml:space="preserve">Nuclear Medicine Scan Register — Sample Project</t>
  </si>
  <si>
    <t xml:space="preserve">Purpose</t>
  </si>
  <si>
    <t xml:space="preserve">This workbook is a practice project built to demonstrate ad-hoc query and reporting skills relevant to clinical systems and clinical data roles (e.g. tracking scan volumes, turnaround times, and status by department).</t>
  </si>
  <si>
    <t xml:space="preserve">IMPORTANT — All data in this workbook is FICTIONAL.</t>
  </si>
  <si>
    <t xml:space="preserve">No real patient information, hospital records, or identifiable data is used anywhere in this file. Patient IDs, names, dates, and physicians are invented for demonstration purposes only.</t>
  </si>
  <si>
    <t xml:space="preserve">How the workbook is structured</t>
  </si>
  <si>
    <t xml:space="preserve">1. Scan Register — the raw data table (one row per scan booking). This is the kind of table a clinical system like InnTrax or an EDM would hold.</t>
  </si>
  <si>
    <t xml:space="preserve">2. Summary — ad-hoc queries built with SUMIFS/COUNTIFS formulas, summarising volumes by scan type, department status, and month — the kind of reporting requested by Project Managers and Clinical Team Leads.</t>
  </si>
  <si>
    <t xml:space="preserve">3. Dashboard — a chart built directly from the Summary formulas.</t>
  </si>
  <si>
    <t xml:space="preserve">How to talk about this project in an interview</t>
  </si>
  <si>
    <t xml:space="preserve">- I built a mock scan register to practise structuring clinical data and writing formulas that summarise it automatically (no hardcoded numbers).</t>
  </si>
  <si>
    <t xml:space="preserve">- The Summary sheet recalculates live from the raw data using SUMIFS/COUNTIFS — if a new row is added to the register, every total and the chart update on their own.</t>
  </si>
  <si>
    <t xml:space="preserve">- This mirrors the kind of validated ad-hoc query and quality-control reporting work described in clinical systems specialist roles.</t>
  </si>
  <si>
    <t xml:space="preserve">Record ID</t>
  </si>
  <si>
    <t xml:space="preserve">Patient ID</t>
  </si>
  <si>
    <t xml:space="preserve">Scan Type</t>
  </si>
  <si>
    <t xml:space="preserve">Department</t>
  </si>
  <si>
    <t xml:space="preserve">Scan Date</t>
  </si>
  <si>
    <t xml:space="preserve">Referring Physician</t>
  </si>
  <si>
    <t xml:space="preserve">Status</t>
  </si>
  <si>
    <t xml:space="preserve">Turnaround (days)</t>
  </si>
  <si>
    <t xml:space="preserve">NM-1000</t>
  </si>
  <si>
    <t xml:space="preserve">P-93810</t>
  </si>
  <si>
    <t xml:space="preserve">Bone Scan</t>
  </si>
  <si>
    <t xml:space="preserve">Nuclear Medicine</t>
  </si>
  <si>
    <t xml:space="preserve">Dr. Dlamini</t>
  </si>
  <si>
    <t xml:space="preserve">Completed</t>
  </si>
  <si>
    <t xml:space="preserve">NM-1001</t>
  </si>
  <si>
    <t xml:space="preserve">P-23434</t>
  </si>
  <si>
    <t xml:space="preserve">Prostate Scan</t>
  </si>
  <si>
    <t xml:space="preserve">Dr. Molefe</t>
  </si>
  <si>
    <t xml:space="preserve">NM-1002</t>
  </si>
  <si>
    <t xml:space="preserve">P-22280</t>
  </si>
  <si>
    <t xml:space="preserve">Lung Perfusion Scan</t>
  </si>
  <si>
    <t xml:space="preserve">NM-1003</t>
  </si>
  <si>
    <t xml:space="preserve">P-36062</t>
  </si>
  <si>
    <t xml:space="preserve">Dr. van Wyk</t>
  </si>
  <si>
    <t xml:space="preserve">NM-1004</t>
  </si>
  <si>
    <t xml:space="preserve">P-10851</t>
  </si>
  <si>
    <t xml:space="preserve">Dr. Pretorius</t>
  </si>
  <si>
    <t xml:space="preserve">NM-1005</t>
  </si>
  <si>
    <t xml:space="preserve">P-38221</t>
  </si>
  <si>
    <t xml:space="preserve">Myocardial Perfusion Study</t>
  </si>
  <si>
    <t xml:space="preserve">Dr. Nkosi</t>
  </si>
  <si>
    <t xml:space="preserve">NM-1006</t>
  </si>
  <si>
    <t xml:space="preserve">P-55082</t>
  </si>
  <si>
    <t xml:space="preserve">NM-1007</t>
  </si>
  <si>
    <t xml:space="preserve">P-26361</t>
  </si>
  <si>
    <t xml:space="preserve">Thyroid Scan</t>
  </si>
  <si>
    <t xml:space="preserve">NM-1008</t>
  </si>
  <si>
    <t xml:space="preserve">P-91070</t>
  </si>
  <si>
    <t xml:space="preserve">NM-1009</t>
  </si>
  <si>
    <t xml:space="preserve">P-96673</t>
  </si>
  <si>
    <t xml:space="preserve">Cancelled</t>
  </si>
  <si>
    <t xml:space="preserve">NM-1010</t>
  </si>
  <si>
    <t xml:space="preserve">P-40512</t>
  </si>
  <si>
    <t xml:space="preserve">NM-1011</t>
  </si>
  <si>
    <t xml:space="preserve">P-57819</t>
  </si>
  <si>
    <t xml:space="preserve">NM-1012</t>
  </si>
  <si>
    <t xml:space="preserve">P-99593</t>
  </si>
  <si>
    <t xml:space="preserve">NM-1013</t>
  </si>
  <si>
    <t xml:space="preserve">P-31417</t>
  </si>
  <si>
    <t xml:space="preserve">NM-1014</t>
  </si>
  <si>
    <t xml:space="preserve">P-93886</t>
  </si>
  <si>
    <t xml:space="preserve">Pending</t>
  </si>
  <si>
    <t xml:space="preserve">NM-1015</t>
  </si>
  <si>
    <t xml:space="preserve">P-17331</t>
  </si>
  <si>
    <t xml:space="preserve">NM-1016</t>
  </si>
  <si>
    <t xml:space="preserve">P-62581</t>
  </si>
  <si>
    <t xml:space="preserve">NM-1017</t>
  </si>
  <si>
    <t xml:space="preserve">P-84341</t>
  </si>
  <si>
    <t xml:space="preserve">NM-1018</t>
  </si>
  <si>
    <t xml:space="preserve">P-70142</t>
  </si>
  <si>
    <t xml:space="preserve">NM-1019</t>
  </si>
  <si>
    <t xml:space="preserve">P-80644</t>
  </si>
  <si>
    <t xml:space="preserve">NM-1020</t>
  </si>
  <si>
    <t xml:space="preserve">P-62350</t>
  </si>
  <si>
    <t xml:space="preserve">NM-1021</t>
  </si>
  <si>
    <t xml:space="preserve">P-16175</t>
  </si>
  <si>
    <t xml:space="preserve">NM-1022</t>
  </si>
  <si>
    <t xml:space="preserve">P-65333</t>
  </si>
  <si>
    <t xml:space="preserve">NM-1023</t>
  </si>
  <si>
    <t xml:space="preserve">P-79352</t>
  </si>
  <si>
    <t xml:space="preserve">NM-1024</t>
  </si>
  <si>
    <t xml:space="preserve">P-11504</t>
  </si>
  <si>
    <t xml:space="preserve">NM-1025</t>
  </si>
  <si>
    <t xml:space="preserve">P-94012</t>
  </si>
  <si>
    <t xml:space="preserve">NM-1026</t>
  </si>
  <si>
    <t xml:space="preserve">P-10425</t>
  </si>
  <si>
    <t xml:space="preserve">NM-1027</t>
  </si>
  <si>
    <t xml:space="preserve">P-76542</t>
  </si>
  <si>
    <t xml:space="preserve">NM-1028</t>
  </si>
  <si>
    <t xml:space="preserve">P-76540</t>
  </si>
  <si>
    <t xml:space="preserve">NM-1029</t>
  </si>
  <si>
    <t xml:space="preserve">P-80697</t>
  </si>
  <si>
    <t xml:space="preserve">NM-1030</t>
  </si>
  <si>
    <t xml:space="preserve">P-12552</t>
  </si>
  <si>
    <t xml:space="preserve">NM-1031</t>
  </si>
  <si>
    <t xml:space="preserve">P-50306</t>
  </si>
  <si>
    <t xml:space="preserve">NM-1032</t>
  </si>
  <si>
    <t xml:space="preserve">P-20322</t>
  </si>
  <si>
    <t xml:space="preserve">NM-1033</t>
  </si>
  <si>
    <t xml:space="preserve">P-79822</t>
  </si>
  <si>
    <t xml:space="preserve">NM-1034</t>
  </si>
  <si>
    <t xml:space="preserve">P-31643</t>
  </si>
  <si>
    <t xml:space="preserve">NM-1035</t>
  </si>
  <si>
    <t xml:space="preserve">P-80686</t>
  </si>
  <si>
    <t xml:space="preserve">NM-1036</t>
  </si>
  <si>
    <t xml:space="preserve">P-95180</t>
  </si>
  <si>
    <t xml:space="preserve">NM-1037</t>
  </si>
  <si>
    <t xml:space="preserve">P-39451</t>
  </si>
  <si>
    <t xml:space="preserve">NM-1038</t>
  </si>
  <si>
    <t xml:space="preserve">P-87128</t>
  </si>
  <si>
    <t xml:space="preserve">NM-1039</t>
  </si>
  <si>
    <t xml:space="preserve">P-40007</t>
  </si>
  <si>
    <t xml:space="preserve">NM-1040</t>
  </si>
  <si>
    <t xml:space="preserve">P-19287</t>
  </si>
  <si>
    <t xml:space="preserve">NM-1041</t>
  </si>
  <si>
    <t xml:space="preserve">P-80678</t>
  </si>
  <si>
    <t xml:space="preserve">NM-1042</t>
  </si>
  <si>
    <t xml:space="preserve">P-71993</t>
  </si>
  <si>
    <t xml:space="preserve">NM-1043</t>
  </si>
  <si>
    <t xml:space="preserve">P-56438</t>
  </si>
  <si>
    <t xml:space="preserve">NM-1044</t>
  </si>
  <si>
    <t xml:space="preserve">P-17100</t>
  </si>
  <si>
    <t xml:space="preserve">NM-1045</t>
  </si>
  <si>
    <t xml:space="preserve">P-24322</t>
  </si>
  <si>
    <t xml:space="preserve">NM-1046</t>
  </si>
  <si>
    <t xml:space="preserve">P-65296</t>
  </si>
  <si>
    <t xml:space="preserve">NM-1047</t>
  </si>
  <si>
    <t xml:space="preserve">P-68082</t>
  </si>
  <si>
    <t xml:space="preserve">NM-1048</t>
  </si>
  <si>
    <t xml:space="preserve">P-11934</t>
  </si>
  <si>
    <t xml:space="preserve">NM-1049</t>
  </si>
  <si>
    <t xml:space="preserve">P-73092</t>
  </si>
  <si>
    <t xml:space="preserve">NM-1050</t>
  </si>
  <si>
    <t xml:space="preserve">P-31579</t>
  </si>
  <si>
    <t xml:space="preserve">NM-1051</t>
  </si>
  <si>
    <t xml:space="preserve">P-69638</t>
  </si>
  <si>
    <t xml:space="preserve">NM-1052</t>
  </si>
  <si>
    <t xml:space="preserve">P-30289</t>
  </si>
  <si>
    <t xml:space="preserve">NM-1053</t>
  </si>
  <si>
    <t xml:space="preserve">P-85914</t>
  </si>
  <si>
    <t xml:space="preserve">NM-1054</t>
  </si>
  <si>
    <t xml:space="preserve">P-72493</t>
  </si>
  <si>
    <t xml:space="preserve">NM-1055</t>
  </si>
  <si>
    <t xml:space="preserve">P-20500</t>
  </si>
  <si>
    <t xml:space="preserve">NM-1056</t>
  </si>
  <si>
    <t xml:space="preserve">P-40828</t>
  </si>
  <si>
    <t xml:space="preserve">NM-1057</t>
  </si>
  <si>
    <t xml:space="preserve">P-15209</t>
  </si>
  <si>
    <t xml:space="preserve">NM-1058</t>
  </si>
  <si>
    <t xml:space="preserve">P-78522</t>
  </si>
  <si>
    <t xml:space="preserve">NM-1059</t>
  </si>
  <si>
    <t xml:space="preserve">P-51180</t>
  </si>
  <si>
    <t xml:space="preserve">Scan Volume by Type</t>
  </si>
  <si>
    <t xml:space="preserve">Status Breakdown</t>
  </si>
  <si>
    <t xml:space="preserve">Count</t>
  </si>
  <si>
    <t xml:space="preserve">Total</t>
  </si>
  <si>
    <t xml:space="preserve">Average Turnaround (Completed Scans)</t>
  </si>
  <si>
    <t xml:space="preserve">Average days</t>
  </si>
  <si>
    <t xml:space="preserve">Volume by Referring Physician</t>
  </si>
  <si>
    <t xml:space="preserve">Physician</t>
  </si>
  <si>
    <t xml:space="preserve">Nuclear Medicine — Scan Volume Dashboard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</si>
</sst>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B"/>
        <bgColor rgb="FFF9F9F9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F2F5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Scan Volume by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Summary!$A$3:$A$7</c:f>
              <c:strCache>
                <c:ptCount val="5"/>
                <c:pt idx="0">
                  <c:v>Bone Scan</c:v>
                </c:pt>
                <c:pt idx="1">
                  <c:v>Lung Perfusion Scan</c:v>
                </c:pt>
                <c:pt idx="2">
                  <c:v>Myocardial Perfusion Study</c:v>
                </c:pt>
                <c:pt idx="3">
                  <c:v>Thyroid Scan</c:v>
                </c:pt>
                <c:pt idx="4">
                  <c:v>Prostate Scan</c:v>
                </c:pt>
              </c:strCache>
            </c:strRef>
          </c:cat>
          <c:val>
            <c:numRef>
              <c:f>Summary!$B$3:$B$7</c:f>
              <c:numCache>
                <c:formatCode>General</c:formatCode>
                <c:ptCount val="5"/>
                <c:pt idx="0">
                  <c:v>12</c:v>
                </c:pt>
                <c:pt idx="1">
                  <c:v>17</c:v>
                </c:pt>
                <c:pt idx="2">
                  <c:v>13</c:v>
                </c:pt>
                <c:pt idx="3">
                  <c:v>6</c:v>
                </c:pt>
                <c:pt idx="4">
                  <c:v>12</c:v>
                </c:pt>
              </c:numCache>
            </c:numRef>
          </c:val>
        </c:ser>
        <c:gapWidth val="150"/>
        <c:overlap val="0"/>
        <c:axId val="50638079"/>
        <c:axId val="94417341"/>
      </c:barChart>
      <c:catAx>
        <c:axId val="506380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Scan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417341"/>
        <c:crosses val="autoZero"/>
        <c:auto val="1"/>
        <c:lblAlgn val="ctr"/>
        <c:lblOffset val="100"/>
        <c:noMultiLvlLbl val="0"/>
      </c:catAx>
      <c:valAx>
        <c:axId val="944173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Scans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6380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Summary!E2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Summary!$D$3:$D$5</c:f>
              <c:strCache>
                <c:ptCount val="3"/>
                <c:pt idx="0">
                  <c:v>Completed</c:v>
                </c:pt>
                <c:pt idx="1">
                  <c:v>Pending</c:v>
                </c:pt>
                <c:pt idx="2">
                  <c:v>Cancelled</c:v>
                </c:pt>
              </c:strCache>
            </c:strRef>
          </c:cat>
          <c:val>
            <c:numRef>
              <c:f>Summary!$E$3:$E$5</c:f>
              <c:numCache>
                <c:formatCode>General</c:formatCode>
                <c:ptCount val="3"/>
                <c:pt idx="0">
                  <c:v>42</c:v>
                </c:pt>
                <c:pt idx="1">
                  <c:v>12</c:v>
                </c:pt>
                <c:pt idx="2">
                  <c:v>6</c:v>
                </c:pt>
              </c:numCache>
            </c:numRef>
          </c:val>
        </c:ser>
        <c:gapWidth val="150"/>
        <c:overlap val="0"/>
        <c:axId val="3726084"/>
        <c:axId val="45301463"/>
      </c:barChart>
      <c:catAx>
        <c:axId val="37260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301463"/>
        <c:crosses val="autoZero"/>
        <c:auto val="1"/>
        <c:lblAlgn val="ctr"/>
        <c:lblOffset val="100"/>
        <c:noMultiLvlLbl val="0"/>
      </c:catAx>
      <c:valAx>
        <c:axId val="453014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260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10</xdr:col>
      <xdr:colOff>364680</xdr:colOff>
      <xdr:row>20</xdr:row>
      <xdr:rowOff>140760</xdr:rowOff>
    </xdr:to>
    <xdr:graphicFrame>
      <xdr:nvGraphicFramePr>
        <xdr:cNvPr id="0" name="Chart 1"/>
        <xdr:cNvGraphicFramePr/>
      </xdr:nvGraphicFramePr>
      <xdr:xfrm>
        <a:off x="0" y="3808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20</xdr:row>
      <xdr:rowOff>160920</xdr:rowOff>
    </xdr:from>
    <xdr:to>
      <xdr:col>10</xdr:col>
      <xdr:colOff>364680</xdr:colOff>
      <xdr:row>39</xdr:row>
      <xdr:rowOff>141120</xdr:rowOff>
    </xdr:to>
    <xdr:graphicFrame>
      <xdr:nvGraphicFramePr>
        <xdr:cNvPr id="1" name="Chart 2"/>
        <xdr:cNvGraphicFramePr/>
      </xdr:nvGraphicFramePr>
      <xdr:xfrm>
        <a:off x="0" y="4000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.75" hidden="false" customHeight="true" outlineLevel="0" collapsed="false">
      <c r="A2" s="2"/>
    </row>
    <row r="3" customFormat="false" ht="15.75" hidden="false" customHeight="true" outlineLevel="0" collapsed="false">
      <c r="A3" s="3" t="s">
        <v>1</v>
      </c>
    </row>
    <row r="4" customFormat="false" ht="30" hidden="false" customHeight="true" outlineLevel="0" collapsed="false">
      <c r="A4" s="2" t="s">
        <v>2</v>
      </c>
    </row>
    <row r="5" customFormat="false" ht="15.75" hidden="false" customHeight="true" outlineLevel="0" collapsed="false">
      <c r="A5" s="2"/>
    </row>
    <row r="6" customFormat="false" ht="15.75" hidden="false" customHeight="true" outlineLevel="0" collapsed="false">
      <c r="A6" s="3" t="s">
        <v>3</v>
      </c>
    </row>
    <row r="7" customFormat="false" ht="30" hidden="false" customHeight="true" outlineLevel="0" collapsed="false">
      <c r="A7" s="2" t="s">
        <v>4</v>
      </c>
    </row>
    <row r="8" customFormat="false" ht="15.75" hidden="false" customHeight="true" outlineLevel="0" collapsed="false">
      <c r="A8" s="2"/>
    </row>
    <row r="9" customFormat="false" ht="15.75" hidden="false" customHeight="true" outlineLevel="0" collapsed="false">
      <c r="A9" s="3" t="s">
        <v>5</v>
      </c>
    </row>
    <row r="10" customFormat="false" ht="30" hidden="false" customHeight="true" outlineLevel="0" collapsed="false">
      <c r="A10" s="2" t="s">
        <v>6</v>
      </c>
    </row>
    <row r="11" customFormat="false" ht="30" hidden="false" customHeight="true" outlineLevel="0" collapsed="false">
      <c r="A11" s="2" t="s">
        <v>7</v>
      </c>
    </row>
    <row r="12" customFormat="false" ht="30" hidden="false" customHeight="true" outlineLevel="0" collapsed="false">
      <c r="A12" s="2" t="s">
        <v>8</v>
      </c>
    </row>
    <row r="13" customFormat="false" ht="15.75" hidden="false" customHeight="true" outlineLevel="0" collapsed="false">
      <c r="A13" s="2"/>
    </row>
    <row r="14" customFormat="false" ht="15.75" hidden="false" customHeight="true" outlineLevel="0" collapsed="false">
      <c r="A14" s="3" t="s">
        <v>9</v>
      </c>
    </row>
    <row r="15" customFormat="false" ht="30" hidden="false" customHeight="true" outlineLevel="0" collapsed="false">
      <c r="A15" s="2" t="s">
        <v>10</v>
      </c>
    </row>
    <row r="16" customFormat="false" ht="30" hidden="false" customHeight="true" outlineLevel="0" collapsed="false">
      <c r="A16" s="2" t="s">
        <v>11</v>
      </c>
    </row>
    <row r="17" customFormat="false" ht="30" hidden="false" customHeight="true" outlineLevel="0" collapsed="false">
      <c r="A17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</row>
    <row r="2" customFormat="false" ht="15" hidden="false" customHeight="false" outlineLevel="0" collapsed="false">
      <c r="A2" s="5" t="s">
        <v>21</v>
      </c>
      <c r="B2" s="5" t="s">
        <v>22</v>
      </c>
      <c r="C2" s="5" t="s">
        <v>23</v>
      </c>
      <c r="D2" s="5" t="s">
        <v>24</v>
      </c>
      <c r="E2" s="6" t="n">
        <v>46033</v>
      </c>
      <c r="F2" s="5" t="s">
        <v>25</v>
      </c>
      <c r="G2" s="5" t="s">
        <v>26</v>
      </c>
      <c r="H2" s="5" t="n">
        <v>2</v>
      </c>
    </row>
    <row r="3" customFormat="false" ht="15" hidden="false" customHeight="false" outlineLevel="0" collapsed="false">
      <c r="A3" s="7" t="s">
        <v>27</v>
      </c>
      <c r="B3" s="7" t="s">
        <v>28</v>
      </c>
      <c r="C3" s="7" t="s">
        <v>29</v>
      </c>
      <c r="D3" s="7" t="s">
        <v>24</v>
      </c>
      <c r="E3" s="8" t="n">
        <v>46049</v>
      </c>
      <c r="F3" s="7" t="s">
        <v>30</v>
      </c>
      <c r="G3" s="7" t="s">
        <v>26</v>
      </c>
      <c r="H3" s="7" t="n">
        <v>1</v>
      </c>
    </row>
    <row r="4" customFormat="false" ht="15" hidden="false" customHeight="false" outlineLevel="0" collapsed="false">
      <c r="A4" s="5" t="s">
        <v>31</v>
      </c>
      <c r="B4" s="5" t="s">
        <v>32</v>
      </c>
      <c r="C4" s="5" t="s">
        <v>33</v>
      </c>
      <c r="D4" s="5" t="s">
        <v>24</v>
      </c>
      <c r="E4" s="6" t="n">
        <v>46086</v>
      </c>
      <c r="F4" s="5" t="s">
        <v>30</v>
      </c>
      <c r="G4" s="5" t="s">
        <v>26</v>
      </c>
      <c r="H4" s="5" t="n">
        <v>5</v>
      </c>
    </row>
    <row r="5" customFormat="false" ht="15" hidden="false" customHeight="false" outlineLevel="0" collapsed="false">
      <c r="A5" s="7" t="s">
        <v>34</v>
      </c>
      <c r="B5" s="7" t="s">
        <v>35</v>
      </c>
      <c r="C5" s="7" t="s">
        <v>29</v>
      </c>
      <c r="D5" s="7" t="s">
        <v>24</v>
      </c>
      <c r="E5" s="8" t="n">
        <v>46134</v>
      </c>
      <c r="F5" s="7" t="s">
        <v>36</v>
      </c>
      <c r="G5" s="7" t="s">
        <v>26</v>
      </c>
      <c r="H5" s="7" t="n">
        <v>3</v>
      </c>
    </row>
    <row r="6" customFormat="false" ht="15" hidden="false" customHeight="false" outlineLevel="0" collapsed="false">
      <c r="A6" s="5" t="s">
        <v>37</v>
      </c>
      <c r="B6" s="5" t="s">
        <v>38</v>
      </c>
      <c r="C6" s="5" t="s">
        <v>33</v>
      </c>
      <c r="D6" s="5" t="s">
        <v>24</v>
      </c>
      <c r="E6" s="6" t="n">
        <v>46205</v>
      </c>
      <c r="F6" s="5" t="s">
        <v>39</v>
      </c>
      <c r="G6" s="5" t="s">
        <v>26</v>
      </c>
      <c r="H6" s="5" t="n">
        <v>2</v>
      </c>
    </row>
    <row r="7" customFormat="false" ht="15" hidden="false" customHeight="false" outlineLevel="0" collapsed="false">
      <c r="A7" s="7" t="s">
        <v>40</v>
      </c>
      <c r="B7" s="7" t="s">
        <v>41</v>
      </c>
      <c r="C7" s="7" t="s">
        <v>42</v>
      </c>
      <c r="D7" s="7" t="s">
        <v>24</v>
      </c>
      <c r="E7" s="8" t="n">
        <v>46053</v>
      </c>
      <c r="F7" s="7" t="s">
        <v>43</v>
      </c>
      <c r="G7" s="7" t="s">
        <v>26</v>
      </c>
      <c r="H7" s="7" t="n">
        <v>3</v>
      </c>
    </row>
    <row r="8" customFormat="false" ht="15" hidden="false" customHeight="false" outlineLevel="0" collapsed="false">
      <c r="A8" s="5" t="s">
        <v>44</v>
      </c>
      <c r="B8" s="5" t="s">
        <v>45</v>
      </c>
      <c r="C8" s="5" t="s">
        <v>29</v>
      </c>
      <c r="D8" s="5" t="s">
        <v>24</v>
      </c>
      <c r="E8" s="6" t="n">
        <v>46094</v>
      </c>
      <c r="F8" s="5" t="s">
        <v>43</v>
      </c>
      <c r="G8" s="5" t="s">
        <v>26</v>
      </c>
      <c r="H8" s="5" t="n">
        <v>5</v>
      </c>
    </row>
    <row r="9" customFormat="false" ht="15" hidden="false" customHeight="false" outlineLevel="0" collapsed="false">
      <c r="A9" s="7" t="s">
        <v>46</v>
      </c>
      <c r="B9" s="7" t="s">
        <v>47</v>
      </c>
      <c r="C9" s="7" t="s">
        <v>48</v>
      </c>
      <c r="D9" s="7" t="s">
        <v>24</v>
      </c>
      <c r="E9" s="8" t="n">
        <v>46047</v>
      </c>
      <c r="F9" s="7" t="s">
        <v>30</v>
      </c>
      <c r="G9" s="7" t="s">
        <v>26</v>
      </c>
      <c r="H9" s="7" t="n">
        <v>6</v>
      </c>
    </row>
    <row r="10" customFormat="false" ht="15" hidden="false" customHeight="false" outlineLevel="0" collapsed="false">
      <c r="A10" s="5" t="s">
        <v>49</v>
      </c>
      <c r="B10" s="5" t="s">
        <v>50</v>
      </c>
      <c r="C10" s="5" t="s">
        <v>42</v>
      </c>
      <c r="D10" s="5" t="s">
        <v>24</v>
      </c>
      <c r="E10" s="6" t="n">
        <v>46174</v>
      </c>
      <c r="F10" s="5" t="s">
        <v>36</v>
      </c>
      <c r="G10" s="5" t="s">
        <v>26</v>
      </c>
      <c r="H10" s="5" t="n">
        <v>1</v>
      </c>
    </row>
    <row r="11" customFormat="false" ht="15" hidden="false" customHeight="false" outlineLevel="0" collapsed="false">
      <c r="A11" s="7" t="s">
        <v>51</v>
      </c>
      <c r="B11" s="7" t="s">
        <v>52</v>
      </c>
      <c r="C11" s="7" t="s">
        <v>33</v>
      </c>
      <c r="D11" s="7" t="s">
        <v>24</v>
      </c>
      <c r="E11" s="8" t="n">
        <v>46224</v>
      </c>
      <c r="F11" s="7" t="s">
        <v>25</v>
      </c>
      <c r="G11" s="7" t="s">
        <v>53</v>
      </c>
      <c r="H11" s="7"/>
    </row>
    <row r="12" customFormat="false" ht="15" hidden="false" customHeight="false" outlineLevel="0" collapsed="false">
      <c r="A12" s="5" t="s">
        <v>54</v>
      </c>
      <c r="B12" s="5" t="s">
        <v>55</v>
      </c>
      <c r="C12" s="5" t="s">
        <v>23</v>
      </c>
      <c r="D12" s="5" t="s">
        <v>24</v>
      </c>
      <c r="E12" s="6" t="n">
        <v>46124</v>
      </c>
      <c r="F12" s="5" t="s">
        <v>25</v>
      </c>
      <c r="G12" s="5" t="s">
        <v>26</v>
      </c>
      <c r="H12" s="5" t="n">
        <v>7</v>
      </c>
    </row>
    <row r="13" customFormat="false" ht="15" hidden="false" customHeight="false" outlineLevel="0" collapsed="false">
      <c r="A13" s="7" t="s">
        <v>56</v>
      </c>
      <c r="B13" s="7" t="s">
        <v>57</v>
      </c>
      <c r="C13" s="7" t="s">
        <v>33</v>
      </c>
      <c r="D13" s="7" t="s">
        <v>24</v>
      </c>
      <c r="E13" s="8" t="n">
        <v>46121</v>
      </c>
      <c r="F13" s="7" t="s">
        <v>25</v>
      </c>
      <c r="G13" s="7" t="s">
        <v>26</v>
      </c>
      <c r="H13" s="7" t="n">
        <v>3</v>
      </c>
    </row>
    <row r="14" customFormat="false" ht="15" hidden="false" customHeight="false" outlineLevel="0" collapsed="false">
      <c r="A14" s="5" t="s">
        <v>58</v>
      </c>
      <c r="B14" s="5" t="s">
        <v>59</v>
      </c>
      <c r="C14" s="5" t="s">
        <v>23</v>
      </c>
      <c r="D14" s="5" t="s">
        <v>24</v>
      </c>
      <c r="E14" s="6" t="n">
        <v>46182</v>
      </c>
      <c r="F14" s="5" t="s">
        <v>36</v>
      </c>
      <c r="G14" s="5" t="s">
        <v>26</v>
      </c>
      <c r="H14" s="5" t="n">
        <v>2</v>
      </c>
    </row>
    <row r="15" customFormat="false" ht="15" hidden="false" customHeight="false" outlineLevel="0" collapsed="false">
      <c r="A15" s="7" t="s">
        <v>60</v>
      </c>
      <c r="B15" s="7" t="s">
        <v>61</v>
      </c>
      <c r="C15" s="7" t="s">
        <v>48</v>
      </c>
      <c r="D15" s="7" t="s">
        <v>24</v>
      </c>
      <c r="E15" s="8" t="n">
        <v>46124</v>
      </c>
      <c r="F15" s="7" t="s">
        <v>25</v>
      </c>
      <c r="G15" s="7" t="s">
        <v>53</v>
      </c>
      <c r="H15" s="7"/>
    </row>
    <row r="16" customFormat="false" ht="15" hidden="false" customHeight="false" outlineLevel="0" collapsed="false">
      <c r="A16" s="5" t="s">
        <v>62</v>
      </c>
      <c r="B16" s="5" t="s">
        <v>63</v>
      </c>
      <c r="C16" s="5" t="s">
        <v>29</v>
      </c>
      <c r="D16" s="5" t="s">
        <v>24</v>
      </c>
      <c r="E16" s="6" t="n">
        <v>46083</v>
      </c>
      <c r="F16" s="5" t="s">
        <v>25</v>
      </c>
      <c r="G16" s="5" t="s">
        <v>64</v>
      </c>
      <c r="H16" s="5"/>
    </row>
    <row r="17" customFormat="false" ht="15" hidden="false" customHeight="false" outlineLevel="0" collapsed="false">
      <c r="A17" s="7" t="s">
        <v>65</v>
      </c>
      <c r="B17" s="7" t="s">
        <v>66</v>
      </c>
      <c r="C17" s="7" t="s">
        <v>33</v>
      </c>
      <c r="D17" s="7" t="s">
        <v>24</v>
      </c>
      <c r="E17" s="8" t="n">
        <v>46237</v>
      </c>
      <c r="F17" s="7" t="s">
        <v>43</v>
      </c>
      <c r="G17" s="7" t="s">
        <v>64</v>
      </c>
      <c r="H17" s="7"/>
    </row>
    <row r="18" customFormat="false" ht="15" hidden="false" customHeight="false" outlineLevel="0" collapsed="false">
      <c r="A18" s="5" t="s">
        <v>67</v>
      </c>
      <c r="B18" s="5" t="s">
        <v>68</v>
      </c>
      <c r="C18" s="5" t="s">
        <v>42</v>
      </c>
      <c r="D18" s="5" t="s">
        <v>24</v>
      </c>
      <c r="E18" s="6" t="n">
        <v>46043</v>
      </c>
      <c r="F18" s="5" t="s">
        <v>36</v>
      </c>
      <c r="G18" s="5" t="s">
        <v>53</v>
      </c>
      <c r="H18" s="5"/>
    </row>
    <row r="19" customFormat="false" ht="15" hidden="false" customHeight="false" outlineLevel="0" collapsed="false">
      <c r="A19" s="7" t="s">
        <v>69</v>
      </c>
      <c r="B19" s="7" t="s">
        <v>70</v>
      </c>
      <c r="C19" s="7" t="s">
        <v>42</v>
      </c>
      <c r="D19" s="7" t="s">
        <v>24</v>
      </c>
      <c r="E19" s="8" t="n">
        <v>46081</v>
      </c>
      <c r="F19" s="7" t="s">
        <v>39</v>
      </c>
      <c r="G19" s="7" t="s">
        <v>26</v>
      </c>
      <c r="H19" s="7" t="n">
        <v>6</v>
      </c>
    </row>
    <row r="20" customFormat="false" ht="15" hidden="false" customHeight="false" outlineLevel="0" collapsed="false">
      <c r="A20" s="5" t="s">
        <v>71</v>
      </c>
      <c r="B20" s="5" t="s">
        <v>72</v>
      </c>
      <c r="C20" s="5" t="s">
        <v>33</v>
      </c>
      <c r="D20" s="5" t="s">
        <v>24</v>
      </c>
      <c r="E20" s="6" t="n">
        <v>46094</v>
      </c>
      <c r="F20" s="5" t="s">
        <v>36</v>
      </c>
      <c r="G20" s="5" t="s">
        <v>26</v>
      </c>
      <c r="H20" s="5" t="n">
        <v>5</v>
      </c>
    </row>
    <row r="21" customFormat="false" ht="15" hidden="false" customHeight="false" outlineLevel="0" collapsed="false">
      <c r="A21" s="7" t="s">
        <v>73</v>
      </c>
      <c r="B21" s="7" t="s">
        <v>74</v>
      </c>
      <c r="C21" s="7" t="s">
        <v>42</v>
      </c>
      <c r="D21" s="7" t="s">
        <v>24</v>
      </c>
      <c r="E21" s="8" t="n">
        <v>46218</v>
      </c>
      <c r="F21" s="7" t="s">
        <v>30</v>
      </c>
      <c r="G21" s="7" t="s">
        <v>26</v>
      </c>
      <c r="H21" s="7" t="n">
        <v>5</v>
      </c>
    </row>
    <row r="22" customFormat="false" ht="15" hidden="false" customHeight="false" outlineLevel="0" collapsed="false">
      <c r="A22" s="5" t="s">
        <v>75</v>
      </c>
      <c r="B22" s="5" t="s">
        <v>76</v>
      </c>
      <c r="C22" s="5" t="s">
        <v>42</v>
      </c>
      <c r="D22" s="5" t="s">
        <v>24</v>
      </c>
      <c r="E22" s="6" t="n">
        <v>46083</v>
      </c>
      <c r="F22" s="5" t="s">
        <v>36</v>
      </c>
      <c r="G22" s="5" t="s">
        <v>26</v>
      </c>
      <c r="H22" s="5" t="n">
        <v>1</v>
      </c>
    </row>
    <row r="23" customFormat="false" ht="15" hidden="false" customHeight="false" outlineLevel="0" collapsed="false">
      <c r="A23" s="7" t="s">
        <v>77</v>
      </c>
      <c r="B23" s="7" t="s">
        <v>78</v>
      </c>
      <c r="C23" s="7" t="s">
        <v>23</v>
      </c>
      <c r="D23" s="7" t="s">
        <v>24</v>
      </c>
      <c r="E23" s="8" t="n">
        <v>46066</v>
      </c>
      <c r="F23" s="7" t="s">
        <v>36</v>
      </c>
      <c r="G23" s="7" t="s">
        <v>64</v>
      </c>
      <c r="H23" s="7"/>
    </row>
    <row r="24" customFormat="false" ht="15" hidden="false" customHeight="false" outlineLevel="0" collapsed="false">
      <c r="A24" s="5" t="s">
        <v>79</v>
      </c>
      <c r="B24" s="5" t="s">
        <v>80</v>
      </c>
      <c r="C24" s="5" t="s">
        <v>29</v>
      </c>
      <c r="D24" s="5" t="s">
        <v>24</v>
      </c>
      <c r="E24" s="6" t="n">
        <v>46043</v>
      </c>
      <c r="F24" s="5" t="s">
        <v>39</v>
      </c>
      <c r="G24" s="5" t="s">
        <v>26</v>
      </c>
      <c r="H24" s="5" t="n">
        <v>4</v>
      </c>
    </row>
    <row r="25" customFormat="false" ht="15" hidden="false" customHeight="false" outlineLevel="0" collapsed="false">
      <c r="A25" s="7" t="s">
        <v>81</v>
      </c>
      <c r="B25" s="7" t="s">
        <v>82</v>
      </c>
      <c r="C25" s="7" t="s">
        <v>42</v>
      </c>
      <c r="D25" s="7" t="s">
        <v>24</v>
      </c>
      <c r="E25" s="8" t="n">
        <v>46275</v>
      </c>
      <c r="F25" s="7" t="s">
        <v>30</v>
      </c>
      <c r="G25" s="7" t="s">
        <v>64</v>
      </c>
      <c r="H25" s="7"/>
    </row>
    <row r="26" customFormat="false" ht="15" hidden="false" customHeight="false" outlineLevel="0" collapsed="false">
      <c r="A26" s="5" t="s">
        <v>83</v>
      </c>
      <c r="B26" s="5" t="s">
        <v>84</v>
      </c>
      <c r="C26" s="5" t="s">
        <v>23</v>
      </c>
      <c r="D26" s="5" t="s">
        <v>24</v>
      </c>
      <c r="E26" s="6" t="n">
        <v>46201</v>
      </c>
      <c r="F26" s="5" t="s">
        <v>30</v>
      </c>
      <c r="G26" s="5" t="s">
        <v>64</v>
      </c>
      <c r="H26" s="5"/>
    </row>
    <row r="27" customFormat="false" ht="15" hidden="false" customHeight="false" outlineLevel="0" collapsed="false">
      <c r="A27" s="7" t="s">
        <v>85</v>
      </c>
      <c r="B27" s="7" t="s">
        <v>86</v>
      </c>
      <c r="C27" s="7" t="s">
        <v>42</v>
      </c>
      <c r="D27" s="7" t="s">
        <v>24</v>
      </c>
      <c r="E27" s="8" t="n">
        <v>46055</v>
      </c>
      <c r="F27" s="7" t="s">
        <v>25</v>
      </c>
      <c r="G27" s="7" t="s">
        <v>26</v>
      </c>
      <c r="H27" s="7" t="n">
        <v>4</v>
      </c>
    </row>
    <row r="28" customFormat="false" ht="15" hidden="false" customHeight="false" outlineLevel="0" collapsed="false">
      <c r="A28" s="5" t="s">
        <v>87</v>
      </c>
      <c r="B28" s="5" t="s">
        <v>88</v>
      </c>
      <c r="C28" s="5" t="s">
        <v>42</v>
      </c>
      <c r="D28" s="5" t="s">
        <v>24</v>
      </c>
      <c r="E28" s="6" t="n">
        <v>46275</v>
      </c>
      <c r="F28" s="5" t="s">
        <v>30</v>
      </c>
      <c r="G28" s="5" t="s">
        <v>64</v>
      </c>
      <c r="H28" s="5"/>
    </row>
    <row r="29" customFormat="false" ht="15" hidden="false" customHeight="false" outlineLevel="0" collapsed="false">
      <c r="A29" s="7" t="s">
        <v>89</v>
      </c>
      <c r="B29" s="7" t="s">
        <v>90</v>
      </c>
      <c r="C29" s="7" t="s">
        <v>23</v>
      </c>
      <c r="D29" s="7" t="s">
        <v>24</v>
      </c>
      <c r="E29" s="8" t="n">
        <v>46249</v>
      </c>
      <c r="F29" s="7" t="s">
        <v>25</v>
      </c>
      <c r="G29" s="7" t="s">
        <v>64</v>
      </c>
      <c r="H29" s="7"/>
    </row>
    <row r="30" customFormat="false" ht="15" hidden="false" customHeight="false" outlineLevel="0" collapsed="false">
      <c r="A30" s="5" t="s">
        <v>91</v>
      </c>
      <c r="B30" s="5" t="s">
        <v>92</v>
      </c>
      <c r="C30" s="5" t="s">
        <v>29</v>
      </c>
      <c r="D30" s="5" t="s">
        <v>24</v>
      </c>
      <c r="E30" s="6" t="n">
        <v>46077</v>
      </c>
      <c r="F30" s="5" t="s">
        <v>36</v>
      </c>
      <c r="G30" s="5" t="s">
        <v>26</v>
      </c>
      <c r="H30" s="5" t="n">
        <v>2</v>
      </c>
    </row>
    <row r="31" customFormat="false" ht="15" hidden="false" customHeight="false" outlineLevel="0" collapsed="false">
      <c r="A31" s="7" t="s">
        <v>93</v>
      </c>
      <c r="B31" s="7" t="s">
        <v>94</v>
      </c>
      <c r="C31" s="7" t="s">
        <v>29</v>
      </c>
      <c r="D31" s="7" t="s">
        <v>24</v>
      </c>
      <c r="E31" s="8" t="n">
        <v>46262</v>
      </c>
      <c r="F31" s="7" t="s">
        <v>43</v>
      </c>
      <c r="G31" s="7" t="s">
        <v>26</v>
      </c>
      <c r="H31" s="7" t="n">
        <v>4</v>
      </c>
    </row>
    <row r="32" customFormat="false" ht="15" hidden="false" customHeight="false" outlineLevel="0" collapsed="false">
      <c r="A32" s="5" t="s">
        <v>95</v>
      </c>
      <c r="B32" s="5" t="s">
        <v>96</v>
      </c>
      <c r="C32" s="5" t="s">
        <v>23</v>
      </c>
      <c r="D32" s="5" t="s">
        <v>24</v>
      </c>
      <c r="E32" s="6" t="n">
        <v>46264</v>
      </c>
      <c r="F32" s="5" t="s">
        <v>25</v>
      </c>
      <c r="G32" s="5" t="s">
        <v>64</v>
      </c>
      <c r="H32" s="5"/>
    </row>
    <row r="33" customFormat="false" ht="15" hidden="false" customHeight="false" outlineLevel="0" collapsed="false">
      <c r="A33" s="7" t="s">
        <v>97</v>
      </c>
      <c r="B33" s="7" t="s">
        <v>98</v>
      </c>
      <c r="C33" s="7" t="s">
        <v>33</v>
      </c>
      <c r="D33" s="7" t="s">
        <v>24</v>
      </c>
      <c r="E33" s="8" t="n">
        <v>46041</v>
      </c>
      <c r="F33" s="7" t="s">
        <v>36</v>
      </c>
      <c r="G33" s="7" t="s">
        <v>64</v>
      </c>
      <c r="H33" s="7"/>
    </row>
    <row r="34" customFormat="false" ht="15" hidden="false" customHeight="false" outlineLevel="0" collapsed="false">
      <c r="A34" s="5" t="s">
        <v>99</v>
      </c>
      <c r="B34" s="5" t="s">
        <v>100</v>
      </c>
      <c r="C34" s="5" t="s">
        <v>23</v>
      </c>
      <c r="D34" s="5" t="s">
        <v>24</v>
      </c>
      <c r="E34" s="6" t="n">
        <v>46214</v>
      </c>
      <c r="F34" s="5" t="s">
        <v>39</v>
      </c>
      <c r="G34" s="5" t="s">
        <v>64</v>
      </c>
      <c r="H34" s="5"/>
    </row>
    <row r="35" customFormat="false" ht="15" hidden="false" customHeight="false" outlineLevel="0" collapsed="false">
      <c r="A35" s="7" t="s">
        <v>101</v>
      </c>
      <c r="B35" s="7" t="s">
        <v>102</v>
      </c>
      <c r="C35" s="7" t="s">
        <v>33</v>
      </c>
      <c r="D35" s="7" t="s">
        <v>24</v>
      </c>
      <c r="E35" s="8" t="n">
        <v>46059</v>
      </c>
      <c r="F35" s="7" t="s">
        <v>39</v>
      </c>
      <c r="G35" s="7" t="s">
        <v>53</v>
      </c>
      <c r="H35" s="7"/>
    </row>
    <row r="36" customFormat="false" ht="15" hidden="false" customHeight="false" outlineLevel="0" collapsed="false">
      <c r="A36" s="5" t="s">
        <v>103</v>
      </c>
      <c r="B36" s="5" t="s">
        <v>104</v>
      </c>
      <c r="C36" s="5" t="s">
        <v>42</v>
      </c>
      <c r="D36" s="5" t="s">
        <v>24</v>
      </c>
      <c r="E36" s="6" t="n">
        <v>46162</v>
      </c>
      <c r="F36" s="5" t="s">
        <v>30</v>
      </c>
      <c r="G36" s="5" t="s">
        <v>26</v>
      </c>
      <c r="H36" s="5" t="n">
        <v>2</v>
      </c>
    </row>
    <row r="37" customFormat="false" ht="15" hidden="false" customHeight="false" outlineLevel="0" collapsed="false">
      <c r="A37" s="7" t="s">
        <v>105</v>
      </c>
      <c r="B37" s="7" t="s">
        <v>106</v>
      </c>
      <c r="C37" s="7" t="s">
        <v>33</v>
      </c>
      <c r="D37" s="7" t="s">
        <v>24</v>
      </c>
      <c r="E37" s="8" t="n">
        <v>46209</v>
      </c>
      <c r="F37" s="7" t="s">
        <v>25</v>
      </c>
      <c r="G37" s="7" t="s">
        <v>26</v>
      </c>
      <c r="H37" s="7" t="n">
        <v>6</v>
      </c>
    </row>
    <row r="38" customFormat="false" ht="15" hidden="false" customHeight="false" outlineLevel="0" collapsed="false">
      <c r="A38" s="5" t="s">
        <v>107</v>
      </c>
      <c r="B38" s="5" t="s">
        <v>108</v>
      </c>
      <c r="C38" s="5" t="s">
        <v>42</v>
      </c>
      <c r="D38" s="5" t="s">
        <v>24</v>
      </c>
      <c r="E38" s="6" t="n">
        <v>46139</v>
      </c>
      <c r="F38" s="5" t="s">
        <v>30</v>
      </c>
      <c r="G38" s="5" t="s">
        <v>26</v>
      </c>
      <c r="H38" s="5" t="n">
        <v>2</v>
      </c>
    </row>
    <row r="39" customFormat="false" ht="15" hidden="false" customHeight="false" outlineLevel="0" collapsed="false">
      <c r="A39" s="7" t="s">
        <v>109</v>
      </c>
      <c r="B39" s="7" t="s">
        <v>110</v>
      </c>
      <c r="C39" s="7" t="s">
        <v>23</v>
      </c>
      <c r="D39" s="7" t="s">
        <v>24</v>
      </c>
      <c r="E39" s="8" t="n">
        <v>46113</v>
      </c>
      <c r="F39" s="7" t="s">
        <v>43</v>
      </c>
      <c r="G39" s="7" t="s">
        <v>26</v>
      </c>
      <c r="H39" s="7" t="n">
        <v>2</v>
      </c>
    </row>
    <row r="40" customFormat="false" ht="15" hidden="false" customHeight="false" outlineLevel="0" collapsed="false">
      <c r="A40" s="5" t="s">
        <v>111</v>
      </c>
      <c r="B40" s="5" t="s">
        <v>112</v>
      </c>
      <c r="C40" s="5" t="s">
        <v>33</v>
      </c>
      <c r="D40" s="5" t="s">
        <v>24</v>
      </c>
      <c r="E40" s="6" t="n">
        <v>46028</v>
      </c>
      <c r="F40" s="5" t="s">
        <v>43</v>
      </c>
      <c r="G40" s="5" t="s">
        <v>26</v>
      </c>
      <c r="H40" s="5" t="n">
        <v>1</v>
      </c>
    </row>
    <row r="41" customFormat="false" ht="15" hidden="false" customHeight="false" outlineLevel="0" collapsed="false">
      <c r="A41" s="7" t="s">
        <v>113</v>
      </c>
      <c r="B41" s="7" t="s">
        <v>114</v>
      </c>
      <c r="C41" s="7" t="s">
        <v>23</v>
      </c>
      <c r="D41" s="7" t="s">
        <v>24</v>
      </c>
      <c r="E41" s="8" t="n">
        <v>46258</v>
      </c>
      <c r="F41" s="7" t="s">
        <v>43</v>
      </c>
      <c r="G41" s="7" t="s">
        <v>64</v>
      </c>
      <c r="H41" s="7"/>
    </row>
    <row r="42" customFormat="false" ht="15" hidden="false" customHeight="false" outlineLevel="0" collapsed="false">
      <c r="A42" s="5" t="s">
        <v>115</v>
      </c>
      <c r="B42" s="5" t="s">
        <v>116</v>
      </c>
      <c r="C42" s="5" t="s">
        <v>29</v>
      </c>
      <c r="D42" s="5" t="s">
        <v>24</v>
      </c>
      <c r="E42" s="6" t="n">
        <v>46087</v>
      </c>
      <c r="F42" s="5" t="s">
        <v>25</v>
      </c>
      <c r="G42" s="5" t="s">
        <v>26</v>
      </c>
      <c r="H42" s="5" t="n">
        <v>2</v>
      </c>
    </row>
    <row r="43" customFormat="false" ht="15" hidden="false" customHeight="false" outlineLevel="0" collapsed="false">
      <c r="A43" s="7" t="s">
        <v>117</v>
      </c>
      <c r="B43" s="7" t="s">
        <v>118</v>
      </c>
      <c r="C43" s="7" t="s">
        <v>33</v>
      </c>
      <c r="D43" s="7" t="s">
        <v>24</v>
      </c>
      <c r="E43" s="8" t="n">
        <v>46212</v>
      </c>
      <c r="F43" s="7" t="s">
        <v>30</v>
      </c>
      <c r="G43" s="7" t="s">
        <v>26</v>
      </c>
      <c r="H43" s="7" t="n">
        <v>2</v>
      </c>
    </row>
    <row r="44" customFormat="false" ht="15" hidden="false" customHeight="false" outlineLevel="0" collapsed="false">
      <c r="A44" s="5" t="s">
        <v>119</v>
      </c>
      <c r="B44" s="5" t="s">
        <v>120</v>
      </c>
      <c r="C44" s="5" t="s">
        <v>48</v>
      </c>
      <c r="D44" s="5" t="s">
        <v>24</v>
      </c>
      <c r="E44" s="6" t="n">
        <v>46075</v>
      </c>
      <c r="F44" s="5" t="s">
        <v>43</v>
      </c>
      <c r="G44" s="5" t="s">
        <v>26</v>
      </c>
      <c r="H44" s="5" t="n">
        <v>4</v>
      </c>
    </row>
    <row r="45" customFormat="false" ht="15" hidden="false" customHeight="false" outlineLevel="0" collapsed="false">
      <c r="A45" s="7" t="s">
        <v>121</v>
      </c>
      <c r="B45" s="7" t="s">
        <v>122</v>
      </c>
      <c r="C45" s="7" t="s">
        <v>48</v>
      </c>
      <c r="D45" s="7" t="s">
        <v>24</v>
      </c>
      <c r="E45" s="8" t="n">
        <v>46132</v>
      </c>
      <c r="F45" s="7" t="s">
        <v>39</v>
      </c>
      <c r="G45" s="7" t="s">
        <v>64</v>
      </c>
      <c r="H45" s="7"/>
    </row>
    <row r="46" customFormat="false" ht="15" hidden="false" customHeight="false" outlineLevel="0" collapsed="false">
      <c r="A46" s="5" t="s">
        <v>123</v>
      </c>
      <c r="B46" s="5" t="s">
        <v>124</v>
      </c>
      <c r="C46" s="5" t="s">
        <v>23</v>
      </c>
      <c r="D46" s="5" t="s">
        <v>24</v>
      </c>
      <c r="E46" s="6" t="n">
        <v>46042</v>
      </c>
      <c r="F46" s="5" t="s">
        <v>39</v>
      </c>
      <c r="G46" s="5" t="s">
        <v>26</v>
      </c>
      <c r="H46" s="5" t="n">
        <v>7</v>
      </c>
    </row>
    <row r="47" customFormat="false" ht="15" hidden="false" customHeight="false" outlineLevel="0" collapsed="false">
      <c r="A47" s="7" t="s">
        <v>125</v>
      </c>
      <c r="B47" s="7" t="s">
        <v>126</v>
      </c>
      <c r="C47" s="7" t="s">
        <v>33</v>
      </c>
      <c r="D47" s="7" t="s">
        <v>24</v>
      </c>
      <c r="E47" s="8" t="n">
        <v>46076</v>
      </c>
      <c r="F47" s="7" t="s">
        <v>36</v>
      </c>
      <c r="G47" s="7" t="s">
        <v>26</v>
      </c>
      <c r="H47" s="7" t="n">
        <v>2</v>
      </c>
    </row>
    <row r="48" customFormat="false" ht="15" hidden="false" customHeight="false" outlineLevel="0" collapsed="false">
      <c r="A48" s="5" t="s">
        <v>127</v>
      </c>
      <c r="B48" s="5" t="s">
        <v>128</v>
      </c>
      <c r="C48" s="5" t="s">
        <v>33</v>
      </c>
      <c r="D48" s="5" t="s">
        <v>24</v>
      </c>
      <c r="E48" s="6" t="n">
        <v>46098</v>
      </c>
      <c r="F48" s="5" t="s">
        <v>39</v>
      </c>
      <c r="G48" s="5" t="s">
        <v>26</v>
      </c>
      <c r="H48" s="5" t="n">
        <v>1</v>
      </c>
    </row>
    <row r="49" customFormat="false" ht="15" hidden="false" customHeight="false" outlineLevel="0" collapsed="false">
      <c r="A49" s="7" t="s">
        <v>129</v>
      </c>
      <c r="B49" s="7" t="s">
        <v>130</v>
      </c>
      <c r="C49" s="7" t="s">
        <v>29</v>
      </c>
      <c r="D49" s="7" t="s">
        <v>24</v>
      </c>
      <c r="E49" s="8" t="n">
        <v>46052</v>
      </c>
      <c r="F49" s="7" t="s">
        <v>43</v>
      </c>
      <c r="G49" s="7" t="s">
        <v>26</v>
      </c>
      <c r="H49" s="7" t="n">
        <v>5</v>
      </c>
    </row>
    <row r="50" customFormat="false" ht="15" hidden="false" customHeight="false" outlineLevel="0" collapsed="false">
      <c r="A50" s="5" t="s">
        <v>131</v>
      </c>
      <c r="B50" s="5" t="s">
        <v>132</v>
      </c>
      <c r="C50" s="5" t="s">
        <v>23</v>
      </c>
      <c r="D50" s="5" t="s">
        <v>24</v>
      </c>
      <c r="E50" s="6" t="n">
        <v>46264</v>
      </c>
      <c r="F50" s="5" t="s">
        <v>36</v>
      </c>
      <c r="G50" s="5" t="s">
        <v>26</v>
      </c>
      <c r="H50" s="5" t="n">
        <v>4</v>
      </c>
    </row>
    <row r="51" customFormat="false" ht="15" hidden="false" customHeight="false" outlineLevel="0" collapsed="false">
      <c r="A51" s="7" t="s">
        <v>133</v>
      </c>
      <c r="B51" s="7" t="s">
        <v>134</v>
      </c>
      <c r="C51" s="7" t="s">
        <v>33</v>
      </c>
      <c r="D51" s="7" t="s">
        <v>24</v>
      </c>
      <c r="E51" s="8" t="n">
        <v>46248</v>
      </c>
      <c r="F51" s="7" t="s">
        <v>39</v>
      </c>
      <c r="G51" s="7" t="s">
        <v>53</v>
      </c>
      <c r="H51" s="7"/>
    </row>
    <row r="52" customFormat="false" ht="15" hidden="false" customHeight="false" outlineLevel="0" collapsed="false">
      <c r="A52" s="5" t="s">
        <v>135</v>
      </c>
      <c r="B52" s="5" t="s">
        <v>136</v>
      </c>
      <c r="C52" s="5" t="s">
        <v>48</v>
      </c>
      <c r="D52" s="5" t="s">
        <v>24</v>
      </c>
      <c r="E52" s="6" t="n">
        <v>46027</v>
      </c>
      <c r="F52" s="5" t="s">
        <v>39</v>
      </c>
      <c r="G52" s="5" t="s">
        <v>26</v>
      </c>
      <c r="H52" s="5" t="n">
        <v>7</v>
      </c>
    </row>
    <row r="53" customFormat="false" ht="15" hidden="false" customHeight="false" outlineLevel="0" collapsed="false">
      <c r="A53" s="7" t="s">
        <v>137</v>
      </c>
      <c r="B53" s="7" t="s">
        <v>138</v>
      </c>
      <c r="C53" s="7" t="s">
        <v>42</v>
      </c>
      <c r="D53" s="7" t="s">
        <v>24</v>
      </c>
      <c r="E53" s="8" t="n">
        <v>46135</v>
      </c>
      <c r="F53" s="7" t="s">
        <v>30</v>
      </c>
      <c r="G53" s="7" t="s">
        <v>26</v>
      </c>
      <c r="H53" s="7" t="n">
        <v>4</v>
      </c>
    </row>
    <row r="54" customFormat="false" ht="15" hidden="false" customHeight="false" outlineLevel="0" collapsed="false">
      <c r="A54" s="5" t="s">
        <v>139</v>
      </c>
      <c r="B54" s="5" t="s">
        <v>140</v>
      </c>
      <c r="C54" s="5" t="s">
        <v>33</v>
      </c>
      <c r="D54" s="5" t="s">
        <v>24</v>
      </c>
      <c r="E54" s="6" t="n">
        <v>46102</v>
      </c>
      <c r="F54" s="5" t="s">
        <v>36</v>
      </c>
      <c r="G54" s="5" t="s">
        <v>53</v>
      </c>
      <c r="H54" s="5"/>
    </row>
    <row r="55" customFormat="false" ht="15" hidden="false" customHeight="false" outlineLevel="0" collapsed="false">
      <c r="A55" s="7" t="s">
        <v>141</v>
      </c>
      <c r="B55" s="7" t="s">
        <v>142</v>
      </c>
      <c r="C55" s="7" t="s">
        <v>29</v>
      </c>
      <c r="D55" s="7" t="s">
        <v>24</v>
      </c>
      <c r="E55" s="8" t="n">
        <v>46042</v>
      </c>
      <c r="F55" s="7" t="s">
        <v>25</v>
      </c>
      <c r="G55" s="7" t="s">
        <v>26</v>
      </c>
      <c r="H55" s="7" t="n">
        <v>5</v>
      </c>
    </row>
    <row r="56" customFormat="false" ht="15" hidden="false" customHeight="false" outlineLevel="0" collapsed="false">
      <c r="A56" s="5" t="s">
        <v>143</v>
      </c>
      <c r="B56" s="5" t="s">
        <v>144</v>
      </c>
      <c r="C56" s="5" t="s">
        <v>29</v>
      </c>
      <c r="D56" s="5" t="s">
        <v>24</v>
      </c>
      <c r="E56" s="6" t="n">
        <v>46262</v>
      </c>
      <c r="F56" s="5" t="s">
        <v>30</v>
      </c>
      <c r="G56" s="5" t="s">
        <v>26</v>
      </c>
      <c r="H56" s="5" t="n">
        <v>5</v>
      </c>
    </row>
    <row r="57" customFormat="false" ht="15" hidden="false" customHeight="false" outlineLevel="0" collapsed="false">
      <c r="A57" s="7" t="s">
        <v>145</v>
      </c>
      <c r="B57" s="7" t="s">
        <v>146</v>
      </c>
      <c r="C57" s="7" t="s">
        <v>33</v>
      </c>
      <c r="D57" s="7" t="s">
        <v>24</v>
      </c>
      <c r="E57" s="8" t="n">
        <v>46044</v>
      </c>
      <c r="F57" s="7" t="s">
        <v>30</v>
      </c>
      <c r="G57" s="7" t="s">
        <v>26</v>
      </c>
      <c r="H57" s="7" t="n">
        <v>7</v>
      </c>
    </row>
    <row r="58" customFormat="false" ht="15" hidden="false" customHeight="false" outlineLevel="0" collapsed="false">
      <c r="A58" s="5" t="s">
        <v>147</v>
      </c>
      <c r="B58" s="5" t="s">
        <v>148</v>
      </c>
      <c r="C58" s="5" t="s">
        <v>48</v>
      </c>
      <c r="D58" s="5" t="s">
        <v>24</v>
      </c>
      <c r="E58" s="6" t="n">
        <v>46057</v>
      </c>
      <c r="F58" s="5" t="s">
        <v>30</v>
      </c>
      <c r="G58" s="5" t="s">
        <v>26</v>
      </c>
      <c r="H58" s="5" t="n">
        <v>5</v>
      </c>
    </row>
    <row r="59" customFormat="false" ht="15" hidden="false" customHeight="false" outlineLevel="0" collapsed="false">
      <c r="A59" s="7" t="s">
        <v>149</v>
      </c>
      <c r="B59" s="7" t="s">
        <v>150</v>
      </c>
      <c r="C59" s="7" t="s">
        <v>29</v>
      </c>
      <c r="D59" s="7" t="s">
        <v>24</v>
      </c>
      <c r="E59" s="8" t="n">
        <v>46047</v>
      </c>
      <c r="F59" s="7" t="s">
        <v>39</v>
      </c>
      <c r="G59" s="7" t="s">
        <v>26</v>
      </c>
      <c r="H59" s="7" t="n">
        <v>5</v>
      </c>
    </row>
    <row r="60" customFormat="false" ht="15" hidden="false" customHeight="false" outlineLevel="0" collapsed="false">
      <c r="A60" s="5" t="s">
        <v>151</v>
      </c>
      <c r="B60" s="5" t="s">
        <v>152</v>
      </c>
      <c r="C60" s="5" t="s">
        <v>42</v>
      </c>
      <c r="D60" s="5" t="s">
        <v>24</v>
      </c>
      <c r="E60" s="6" t="n">
        <v>46266</v>
      </c>
      <c r="F60" s="5" t="s">
        <v>25</v>
      </c>
      <c r="G60" s="5" t="s">
        <v>26</v>
      </c>
      <c r="H60" s="5" t="n">
        <v>6</v>
      </c>
    </row>
    <row r="61" customFormat="false" ht="15" hidden="false" customHeight="false" outlineLevel="0" collapsed="false">
      <c r="A61" s="7" t="s">
        <v>153</v>
      </c>
      <c r="B61" s="7" t="s">
        <v>154</v>
      </c>
      <c r="C61" s="7" t="s">
        <v>33</v>
      </c>
      <c r="D61" s="7" t="s">
        <v>24</v>
      </c>
      <c r="E61" s="8" t="n">
        <v>46094</v>
      </c>
      <c r="F61" s="7" t="s">
        <v>39</v>
      </c>
      <c r="G61" s="7" t="s">
        <v>26</v>
      </c>
      <c r="H61" s="7" t="n">
        <v>6</v>
      </c>
    </row>
  </sheetData>
  <dataValidations count="1">
    <dataValidation allowBlank="true" errorStyle="stop" operator="between" showDropDown="false" showErrorMessage="false" showInputMessage="false" sqref="G2:G61" type="list">
      <formula1>"Completed,Pending,Cancelled"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26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9" t="s">
        <v>155</v>
      </c>
      <c r="B1" s="9"/>
      <c r="D1" s="9" t="s">
        <v>156</v>
      </c>
      <c r="E1" s="9"/>
    </row>
    <row r="2" customFormat="false" ht="15" hidden="false" customHeight="false" outlineLevel="0" collapsed="false">
      <c r="A2" s="10" t="s">
        <v>15</v>
      </c>
      <c r="B2" s="10" t="s">
        <v>157</v>
      </c>
      <c r="D2" s="10" t="s">
        <v>19</v>
      </c>
      <c r="E2" s="10" t="s">
        <v>157</v>
      </c>
    </row>
    <row r="3" customFormat="false" ht="15" hidden="false" customHeight="false" outlineLevel="0" collapsed="false">
      <c r="A3" s="11" t="s">
        <v>23</v>
      </c>
      <c r="B3" s="11" t="n">
        <f aca="false">COUNTIFS('Scan Register'!$C$2:$C$61,A3)</f>
        <v>12</v>
      </c>
      <c r="D3" s="11" t="s">
        <v>26</v>
      </c>
      <c r="E3" s="11" t="n">
        <f aca="false">COUNTIFS('Scan Register'!$G$2:$G$61,D3)</f>
        <v>42</v>
      </c>
    </row>
    <row r="4" customFormat="false" ht="15" hidden="false" customHeight="false" outlineLevel="0" collapsed="false">
      <c r="A4" s="11" t="s">
        <v>33</v>
      </c>
      <c r="B4" s="11" t="n">
        <f aca="false">COUNTIFS('Scan Register'!$C$2:$C$61,A4)</f>
        <v>17</v>
      </c>
      <c r="D4" s="11" t="s">
        <v>64</v>
      </c>
      <c r="E4" s="11" t="n">
        <f aca="false">COUNTIFS('Scan Register'!$G$2:$G$61,D4)</f>
        <v>12</v>
      </c>
    </row>
    <row r="5" customFormat="false" ht="15" hidden="false" customHeight="false" outlineLevel="0" collapsed="false">
      <c r="A5" s="11" t="s">
        <v>42</v>
      </c>
      <c r="B5" s="11" t="n">
        <f aca="false">COUNTIFS('Scan Register'!$C$2:$C$61,A5)</f>
        <v>13</v>
      </c>
      <c r="D5" s="11" t="s">
        <v>53</v>
      </c>
      <c r="E5" s="11" t="n">
        <f aca="false">COUNTIFS('Scan Register'!$G$2:$G$61,D5)</f>
        <v>6</v>
      </c>
    </row>
    <row r="6" customFormat="false" ht="15" hidden="false" customHeight="false" outlineLevel="0" collapsed="false">
      <c r="A6" s="11" t="s">
        <v>48</v>
      </c>
      <c r="B6" s="11" t="n">
        <f aca="false">COUNTIFS('Scan Register'!$C$2:$C$61,A6)</f>
        <v>6</v>
      </c>
    </row>
    <row r="7" customFormat="false" ht="15" hidden="false" customHeight="false" outlineLevel="0" collapsed="false">
      <c r="A7" s="11" t="s">
        <v>29</v>
      </c>
      <c r="B7" s="11" t="n">
        <f aca="false">COUNTIFS('Scan Register'!$C$2:$C$61,A7)</f>
        <v>12</v>
      </c>
    </row>
    <row r="8" customFormat="false" ht="15" hidden="false" customHeight="false" outlineLevel="0" collapsed="false">
      <c r="A8" s="12" t="s">
        <v>158</v>
      </c>
      <c r="B8" s="12" t="n">
        <f aca="false">SUM(B3:B7)</f>
        <v>60</v>
      </c>
    </row>
    <row r="10" customFormat="false" ht="15" hidden="false" customHeight="false" outlineLevel="0" collapsed="false">
      <c r="A10" s="9" t="s">
        <v>159</v>
      </c>
      <c r="B10" s="9"/>
    </row>
    <row r="11" customFormat="false" ht="15" hidden="false" customHeight="false" outlineLevel="0" collapsed="false">
      <c r="A11" s="11" t="s">
        <v>160</v>
      </c>
      <c r="B11" s="12" t="n">
        <f aca="false">ROUND(AVERAGEIFS('Scan Register'!$H$2:$H$61,'Scan Register'!$G$2:$G$61,"Completed"),1)</f>
        <v>3.8</v>
      </c>
    </row>
    <row r="13" customFormat="false" ht="15" hidden="false" customHeight="false" outlineLevel="0" collapsed="false">
      <c r="A13" s="9" t="s">
        <v>161</v>
      </c>
      <c r="B13" s="9"/>
    </row>
    <row r="14" customFormat="false" ht="15" hidden="false" customHeight="false" outlineLevel="0" collapsed="false">
      <c r="A14" s="10" t="s">
        <v>162</v>
      </c>
      <c r="B14" s="10" t="s">
        <v>157</v>
      </c>
    </row>
    <row r="15" customFormat="false" ht="15" hidden="false" customHeight="false" outlineLevel="0" collapsed="false">
      <c r="A15" s="11" t="s">
        <v>43</v>
      </c>
      <c r="B15" s="11" t="n">
        <f aca="false">COUNTIFS('Scan Register'!$F$2:$F$61,A15)</f>
        <v>9</v>
      </c>
    </row>
    <row r="16" customFormat="false" ht="15" hidden="false" customHeight="false" outlineLevel="0" collapsed="false">
      <c r="A16" s="11" t="s">
        <v>36</v>
      </c>
      <c r="B16" s="11" t="n">
        <f aca="false">COUNTIFS('Scan Register'!$F$2:$F$61,A16)</f>
        <v>12</v>
      </c>
    </row>
    <row r="17" customFormat="false" ht="15" hidden="false" customHeight="false" outlineLevel="0" collapsed="false">
      <c r="A17" s="11" t="s">
        <v>25</v>
      </c>
      <c r="B17" s="11" t="n">
        <f aca="false">COUNTIFS('Scan Register'!$F$2:$F$61,A17)</f>
        <v>13</v>
      </c>
    </row>
    <row r="18" customFormat="false" ht="15" hidden="false" customHeight="false" outlineLevel="0" collapsed="false">
      <c r="A18" s="11" t="s">
        <v>39</v>
      </c>
      <c r="B18" s="11" t="n">
        <f aca="false">COUNTIFS('Scan Register'!$F$2:$F$61,A18)</f>
        <v>12</v>
      </c>
    </row>
    <row r="19" customFormat="false" ht="15" hidden="false" customHeight="false" outlineLevel="0" collapsed="false">
      <c r="A19" s="11" t="s">
        <v>30</v>
      </c>
      <c r="B19" s="11" t="n">
        <f aca="false">COUNTIFS('Scan Register'!$F$2:$F$61,A19)</f>
        <v>14</v>
      </c>
    </row>
  </sheetData>
  <mergeCells count="4">
    <mergeCell ref="A1:B1"/>
    <mergeCell ref="D1:E1"/>
    <mergeCell ref="A10:B10"/>
    <mergeCell ref="A13:B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3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2026-09-19T17:26:54Z</dcterms:created>
  <dc:creator>openpyxl</dc:creator>
  <dc:description/>
  <dc:language>en-US</dc:language>
  <cp:lastModifiedBy/>
  <dcterms:modified xsi:type="dcterms:W3CDTF">2026-09-19T17:26:58Z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