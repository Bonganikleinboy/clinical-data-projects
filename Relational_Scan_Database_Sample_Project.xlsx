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hysicians" sheetId="2" state="visible" r:id="rId4"/>
    <sheet name="ScanTypes" sheetId="3" state="visible" r:id="rId5"/>
    <sheet name="Patients" sheetId="4" state="visible" r:id="rId6"/>
    <sheet name="Scans" sheetId="5" state="visible" r:id="rId7"/>
    <sheet name="Scan Details (Query View)" sheetId="6" state="visible" r:id="rId8"/>
    <sheet name="Query Exam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<sst xmlns="http://schemas.openxmlformats.org/spreadsheetml/2006/main" count="527" uniqueCount="176">
  <si>
    <t xml:space="preserve">Nuclear Medicine Relational Database — Sample Project</t>
  </si>
  <si>
    <t xml:space="preserve">Purpose</t>
  </si>
  <si>
    <t xml:space="preserve">This workbook demonstrates a normalized relational database design — the kind of structure used in MS Access and SQL databases — built around a fictional Nuclear Medicine scan register.</t>
  </si>
  <si>
    <t xml:space="preserve">IMPORTANT — All data in this workbook is FICTIONAL.</t>
  </si>
  <si>
    <t xml:space="preserve">No real patient information, hospital records, or identifiable data is used anywhere in this file. All names, IDs, and dates are invented for demonstration purposes only.</t>
  </si>
  <si>
    <t xml:space="preserve">Database design (normalization)</t>
  </si>
  <si>
    <t xml:space="preserve">Instead of one big flat table, the data is split into four related tables, each holding one type of information. This avoids repeating data and mirrors how a real clinical system (e.g. Access or SQL Server) would be structured:</t>
  </si>
  <si>
    <t xml:space="preserve">1. Physicians — one row per referring physician (PhysicianID is the primary key).</t>
  </si>
  <si>
    <t xml:space="preserve">2. ScanTypes — one row per type of scan offered (ScanTypeID is the primary key).</t>
  </si>
  <si>
    <t xml:space="preserve">3. Patients — one row per patient record (PatientID is the primary key; no identifying details, only an age band and sex for illustration).</t>
  </si>
  <si>
    <t xml:space="preserve">4. Scans — one row per scan booking, linking to the other three tables via foreign keys (PatientID, ScanTypeID, PhysicianID).</t>
  </si>
  <si>
    <t xml:space="preserve">5. Scan Details (Query View) — a joined view built with INDEX/MATCH formulas that pulls together data from all four tables, the way a SQL JOIN query would.</t>
  </si>
  <si>
    <t xml:space="preserve">How to import this into MS Access</t>
  </si>
  <si>
    <t xml:space="preserve">1. Open Access, create a new blank database.</t>
  </si>
  <si>
    <t xml:space="preserve">2. External Data tab &gt; New Data Source &gt; From File &gt; Excel &gt; select this workbook.</t>
  </si>
  <si>
    <t xml:space="preserve">3. Import each sheet (Physicians, ScanTypes, Patients, Scans) as its own table, letting the first row be used as column headings.</t>
  </si>
  <si>
    <t xml:space="preserve">4. In Database Tools &gt; Relationships, link the tables on their ID fields (PatientID, ScanTypeID, PhysicianID) and enforce referential integrity.</t>
  </si>
  <si>
    <t xml:space="preserve">5. Build a query in Query Design that joins Scans to the other three tables — this reproduces the Scan Details sheet, but as a live Access query instead of a formula.</t>
  </si>
  <si>
    <t xml:space="preserve">How to talk about this project in an interview</t>
  </si>
  <si>
    <t xml:space="preserve">- I designed a small relational database (Physicians, ScanTypes, Patients, Scans) instead of one flat table, to avoid duplicate data and mirror how a real clinical system is structured.</t>
  </si>
  <si>
    <t xml:space="preserve">- I can explain primary keys, foreign keys, and why normalization matters for data integrity.</t>
  </si>
  <si>
    <t xml:space="preserve">- I built a joined 'query view' using INDEX/MATCH to simulate a SQL JOIN, and I understand how the same design would translate directly into Access relationships and queries, or into basic T-SQL SELECT/JOIN statements.</t>
  </si>
  <si>
    <t xml:space="preserve">PhysicianID</t>
  </si>
  <si>
    <t xml:space="preserve">Name</t>
  </si>
  <si>
    <t xml:space="preserve">Department</t>
  </si>
  <si>
    <t xml:space="preserve">PHY-01</t>
  </si>
  <si>
    <t xml:space="preserve">Dr. Nkosi</t>
  </si>
  <si>
    <t xml:space="preserve">Nuclear Medicine</t>
  </si>
  <si>
    <t xml:space="preserve">PHY-02</t>
  </si>
  <si>
    <t xml:space="preserve">Dr. van Wyk</t>
  </si>
  <si>
    <t xml:space="preserve">PHY-03</t>
  </si>
  <si>
    <t xml:space="preserve">Dr. Dlamini</t>
  </si>
  <si>
    <t xml:space="preserve">PHY-04</t>
  </si>
  <si>
    <t xml:space="preserve">Dr. Pretorius</t>
  </si>
  <si>
    <t xml:space="preserve">PHY-05</t>
  </si>
  <si>
    <t xml:space="preserve">Dr. Molefe</t>
  </si>
  <si>
    <t xml:space="preserve">ScanTypeID</t>
  </si>
  <si>
    <t xml:space="preserve">ScanTypeName</t>
  </si>
  <si>
    <t xml:space="preserve">AvgDurationMinutes</t>
  </si>
  <si>
    <t xml:space="preserve">ST-01</t>
  </si>
  <si>
    <t xml:space="preserve">Bone Scan</t>
  </si>
  <si>
    <t xml:space="preserve">ST-02</t>
  </si>
  <si>
    <t xml:space="preserve">Lung Perfusion Scan</t>
  </si>
  <si>
    <t xml:space="preserve">ST-03</t>
  </si>
  <si>
    <t xml:space="preserve">Myocardial Perfusion Study</t>
  </si>
  <si>
    <t xml:space="preserve">ST-04</t>
  </si>
  <si>
    <t xml:space="preserve">Thyroid Scan</t>
  </si>
  <si>
    <t xml:space="preserve">ST-05</t>
  </si>
  <si>
    <t xml:space="preserve">Prostate Scan</t>
  </si>
  <si>
    <t xml:space="preserve">PatientID</t>
  </si>
  <si>
    <t xml:space="preserve">AgeBand</t>
  </si>
  <si>
    <t xml:space="preserve">Sex</t>
  </si>
  <si>
    <t xml:space="preserve">PAT-100</t>
  </si>
  <si>
    <t xml:space="preserve">46-60</t>
  </si>
  <si>
    <t xml:space="preserve">F</t>
  </si>
  <si>
    <t xml:space="preserve">PAT-101</t>
  </si>
  <si>
    <t xml:space="preserve">61-75</t>
  </si>
  <si>
    <t xml:space="preserve">PAT-102</t>
  </si>
  <si>
    <t xml:space="preserve">18-30</t>
  </si>
  <si>
    <t xml:space="preserve">PAT-103</t>
  </si>
  <si>
    <t xml:space="preserve">PAT-104</t>
  </si>
  <si>
    <t xml:space="preserve">76+</t>
  </si>
  <si>
    <t xml:space="preserve">PAT-105</t>
  </si>
  <si>
    <t xml:space="preserve">PAT-106</t>
  </si>
  <si>
    <t xml:space="preserve">M</t>
  </si>
  <si>
    <t xml:space="preserve">PAT-107</t>
  </si>
  <si>
    <t xml:space="preserve">PAT-108</t>
  </si>
  <si>
    <t xml:space="preserve">PAT-109</t>
  </si>
  <si>
    <t xml:space="preserve">PAT-110</t>
  </si>
  <si>
    <t xml:space="preserve">31-45</t>
  </si>
  <si>
    <t xml:space="preserve">PAT-111</t>
  </si>
  <si>
    <t xml:space="preserve">PAT-112</t>
  </si>
  <si>
    <t xml:space="preserve">PAT-113</t>
  </si>
  <si>
    <t xml:space="preserve">PAT-114</t>
  </si>
  <si>
    <t xml:space="preserve">PAT-115</t>
  </si>
  <si>
    <t xml:space="preserve">PAT-116</t>
  </si>
  <si>
    <t xml:space="preserve">PAT-117</t>
  </si>
  <si>
    <t xml:space="preserve">PAT-118</t>
  </si>
  <si>
    <t xml:space="preserve">PAT-119</t>
  </si>
  <si>
    <t xml:space="preserve">PAT-120</t>
  </si>
  <si>
    <t xml:space="preserve">PAT-121</t>
  </si>
  <si>
    <t xml:space="preserve">PAT-122</t>
  </si>
  <si>
    <t xml:space="preserve">PAT-123</t>
  </si>
  <si>
    <t xml:space="preserve">PAT-124</t>
  </si>
  <si>
    <t xml:space="preserve">PAT-125</t>
  </si>
  <si>
    <t xml:space="preserve">PAT-126</t>
  </si>
  <si>
    <t xml:space="preserve">PAT-127</t>
  </si>
  <si>
    <t xml:space="preserve">PAT-128</t>
  </si>
  <si>
    <t xml:space="preserve">PAT-129</t>
  </si>
  <si>
    <t xml:space="preserve">ScanID</t>
  </si>
  <si>
    <t xml:space="preserve">ScanDate</t>
  </si>
  <si>
    <t xml:space="preserve">Status</t>
  </si>
  <si>
    <t xml:space="preserve">TurnaroundDays</t>
  </si>
  <si>
    <t xml:space="preserve">SC-2000</t>
  </si>
  <si>
    <t xml:space="preserve">Completed</t>
  </si>
  <si>
    <t xml:space="preserve">SC-2001</t>
  </si>
  <si>
    <t xml:space="preserve">SC-2002</t>
  </si>
  <si>
    <t xml:space="preserve">Cancelled</t>
  </si>
  <si>
    <t xml:space="preserve">SC-2003</t>
  </si>
  <si>
    <t xml:space="preserve">Pending</t>
  </si>
  <si>
    <t xml:space="preserve">SC-2004</t>
  </si>
  <si>
    <t xml:space="preserve">SC-2005</t>
  </si>
  <si>
    <t xml:space="preserve">SC-2006</t>
  </si>
  <si>
    <t xml:space="preserve">SC-2007</t>
  </si>
  <si>
    <t xml:space="preserve">SC-2008</t>
  </si>
  <si>
    <t xml:space="preserve">SC-2009</t>
  </si>
  <si>
    <t xml:space="preserve">SC-2010</t>
  </si>
  <si>
    <t xml:space="preserve">SC-2011</t>
  </si>
  <si>
    <t xml:space="preserve">SC-2012</t>
  </si>
  <si>
    <t xml:space="preserve">SC-2013</t>
  </si>
  <si>
    <t xml:space="preserve">SC-2014</t>
  </si>
  <si>
    <t xml:space="preserve">SC-2015</t>
  </si>
  <si>
    <t xml:space="preserve">SC-2016</t>
  </si>
  <si>
    <t xml:space="preserve">SC-2017</t>
  </si>
  <si>
    <t xml:space="preserve">SC-2018</t>
  </si>
  <si>
    <t xml:space="preserve">SC-2019</t>
  </si>
  <si>
    <t xml:space="preserve">SC-2020</t>
  </si>
  <si>
    <t xml:space="preserve">SC-2021</t>
  </si>
  <si>
    <t xml:space="preserve">SC-2022</t>
  </si>
  <si>
    <t xml:space="preserve">SC-2023</t>
  </si>
  <si>
    <t xml:space="preserve">SC-2024</t>
  </si>
  <si>
    <t xml:space="preserve">SC-2025</t>
  </si>
  <si>
    <t xml:space="preserve">SC-2026</t>
  </si>
  <si>
    <t xml:space="preserve">SC-2027</t>
  </si>
  <si>
    <t xml:space="preserve">SC-2028</t>
  </si>
  <si>
    <t xml:space="preserve">SC-2029</t>
  </si>
  <si>
    <t xml:space="preserve">SC-2030</t>
  </si>
  <si>
    <t xml:space="preserve">SC-2031</t>
  </si>
  <si>
    <t xml:space="preserve">SC-2032</t>
  </si>
  <si>
    <t xml:space="preserve">SC-2033</t>
  </si>
  <si>
    <t xml:space="preserve">SC-2034</t>
  </si>
  <si>
    <t xml:space="preserve">SC-2035</t>
  </si>
  <si>
    <t xml:space="preserve">SC-2036</t>
  </si>
  <si>
    <t xml:space="preserve">SC-2037</t>
  </si>
  <si>
    <t xml:space="preserve">SC-2038</t>
  </si>
  <si>
    <t xml:space="preserve">SC-2039</t>
  </si>
  <si>
    <t xml:space="preserve">SC-2040</t>
  </si>
  <si>
    <t xml:space="preserve">SC-2041</t>
  </si>
  <si>
    <t xml:space="preserve">SC-2042</t>
  </si>
  <si>
    <t xml:space="preserve">SC-2043</t>
  </si>
  <si>
    <t xml:space="preserve">SC-2044</t>
  </si>
  <si>
    <t xml:space="preserve">SC-2045</t>
  </si>
  <si>
    <t xml:space="preserve">SC-2046</t>
  </si>
  <si>
    <t xml:space="preserve">SC-2047</t>
  </si>
  <si>
    <t xml:space="preserve">SC-2048</t>
  </si>
  <si>
    <t xml:space="preserve">SC-2049</t>
  </si>
  <si>
    <t xml:space="preserve">SC-2050</t>
  </si>
  <si>
    <t xml:space="preserve">SC-2051</t>
  </si>
  <si>
    <t xml:space="preserve">SC-2052</t>
  </si>
  <si>
    <t xml:space="preserve">SC-2053</t>
  </si>
  <si>
    <t xml:space="preserve">SC-2054</t>
  </si>
  <si>
    <t xml:space="preserve">SC-2055</t>
  </si>
  <si>
    <t xml:space="preserve">SC-2056</t>
  </si>
  <si>
    <t xml:space="preserve">SC-2057</t>
  </si>
  <si>
    <t xml:space="preserve">SC-2058</t>
  </si>
  <si>
    <t xml:space="preserve">SC-2059</t>
  </si>
  <si>
    <t xml:space="preserve">SC-2060</t>
  </si>
  <si>
    <t xml:space="preserve">SC-2061</t>
  </si>
  <si>
    <t xml:space="preserve">SC-2062</t>
  </si>
  <si>
    <t xml:space="preserve">SC-2063</t>
  </si>
  <si>
    <t xml:space="preserve">SC-2064</t>
  </si>
  <si>
    <t xml:space="preserve">SC-2065</t>
  </si>
  <si>
    <t xml:space="preserve">SC-2066</t>
  </si>
  <si>
    <t xml:space="preserve">SC-2067</t>
  </si>
  <si>
    <t xml:space="preserve">SC-2068</t>
  </si>
  <si>
    <t xml:space="preserve">SC-2069</t>
  </si>
  <si>
    <t xml:space="preserve">Scan Type</t>
  </si>
  <si>
    <t xml:space="preserve">Referring Physician</t>
  </si>
  <si>
    <t xml:space="preserve">Patient Age Band</t>
  </si>
  <si>
    <t xml:space="preserve">Patient Sex</t>
  </si>
  <si>
    <t xml:space="preserve">Turnaround (days)</t>
  </si>
  <si>
    <t xml:space="preserve">Completed Scans by Scan Type</t>
  </si>
  <si>
    <t xml:space="preserve">Completed Count</t>
  </si>
  <si>
    <t xml:space="preserve">Scan Volume by Patient Age Band</t>
  </si>
  <si>
    <t xml:space="preserve">Age Band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</si>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</sst>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D9E2F3"/>
        <bgColor rgb="FFF2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9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30" hidden="false" customHeight="true" outlineLevel="0" collapsed="false">
      <c r="A4" s="3" t="s">
        <v>2</v>
      </c>
    </row>
    <row r="5" customFormat="false" ht="15.75" hidden="false" customHeight="true" outlineLevel="0" collapsed="false">
      <c r="A5" s="3"/>
    </row>
    <row r="6" customFormat="false" ht="15.75" hidden="false" customHeight="true" outlineLevel="0" collapsed="false">
      <c r="A6" s="4" t="s">
        <v>3</v>
      </c>
    </row>
    <row r="7" customFormat="false" ht="30" hidden="false" customHeight="true" outlineLevel="0" collapsed="false">
      <c r="A7" s="3" t="s">
        <v>4</v>
      </c>
    </row>
    <row r="8" customFormat="false" ht="15.75" hidden="false" customHeight="true" outlineLevel="0" collapsed="false">
      <c r="A8" s="3"/>
    </row>
    <row r="9" customFormat="false" ht="15.75" hidden="false" customHeight="true" outlineLevel="0" collapsed="false">
      <c r="A9" s="4" t="s">
        <v>5</v>
      </c>
    </row>
    <row r="10" customFormat="false" ht="30" hidden="false" customHeight="true" outlineLevel="0" collapsed="false">
      <c r="A10" s="3" t="s">
        <v>6</v>
      </c>
    </row>
    <row r="11" customFormat="false" ht="30" hidden="false" customHeight="true" outlineLevel="0" collapsed="false">
      <c r="A11" s="3" t="s">
        <v>7</v>
      </c>
    </row>
    <row r="12" customFormat="false" ht="30" hidden="false" customHeight="true" outlineLevel="0" collapsed="false">
      <c r="A12" s="3" t="s">
        <v>8</v>
      </c>
    </row>
    <row r="13" customFormat="false" ht="30" hidden="false" customHeight="true" outlineLevel="0" collapsed="false">
      <c r="A13" s="3" t="s">
        <v>9</v>
      </c>
    </row>
    <row r="14" customFormat="false" ht="30" hidden="false" customHeight="true" outlineLevel="0" collapsed="false">
      <c r="A14" s="3" t="s">
        <v>10</v>
      </c>
    </row>
    <row r="15" customFormat="false" ht="30" hidden="false" customHeight="true" outlineLevel="0" collapsed="false">
      <c r="A15" s="3" t="s">
        <v>11</v>
      </c>
    </row>
    <row r="16" customFormat="false" ht="15.75" hidden="false" customHeight="true" outlineLevel="0" collapsed="false">
      <c r="A16" s="3"/>
    </row>
    <row r="17" customFormat="false" ht="15.75" hidden="false" customHeight="true" outlineLevel="0" collapsed="false">
      <c r="A17" s="4" t="s">
        <v>12</v>
      </c>
    </row>
    <row r="18" customFormat="false" ht="15.75" hidden="false" customHeight="true" outlineLevel="0" collapsed="false">
      <c r="A18" s="3" t="s">
        <v>13</v>
      </c>
    </row>
    <row r="19" customFormat="false" ht="30" hidden="false" customHeight="true" outlineLevel="0" collapsed="false">
      <c r="A19" s="3" t="s">
        <v>14</v>
      </c>
    </row>
    <row r="20" customFormat="false" ht="30" hidden="false" customHeight="true" outlineLevel="0" collapsed="false">
      <c r="A20" s="3" t="s">
        <v>15</v>
      </c>
    </row>
    <row r="21" customFormat="false" ht="30" hidden="false" customHeight="true" outlineLevel="0" collapsed="false">
      <c r="A21" s="3" t="s">
        <v>16</v>
      </c>
    </row>
    <row r="22" customFormat="false" ht="30" hidden="false" customHeight="true" outlineLevel="0" collapsed="false">
      <c r="A22" s="3" t="s">
        <v>17</v>
      </c>
    </row>
    <row r="23" customFormat="false" ht="15.75" hidden="false" customHeight="true" outlineLevel="0" collapsed="false">
      <c r="A23" s="3"/>
    </row>
    <row r="24" customFormat="false" ht="15.75" hidden="false" customHeight="true" outlineLevel="0" collapsed="false">
      <c r="A24" s="4" t="s">
        <v>18</v>
      </c>
    </row>
    <row r="25" customFormat="false" ht="30" hidden="false" customHeight="true" outlineLevel="0" collapsed="false">
      <c r="A25" s="3" t="s">
        <v>19</v>
      </c>
    </row>
    <row r="26" customFormat="false" ht="30" hidden="false" customHeight="true" outlineLevel="0" collapsed="false">
      <c r="A26" s="3" t="s">
        <v>20</v>
      </c>
    </row>
    <row r="27" customFormat="false" ht="30" hidden="false" customHeight="true" outlineLevel="0" collapsed="false">
      <c r="A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0"/>
  </cols>
  <sheetData>
    <row r="1" customFormat="false" ht="15" hidden="false" customHeight="true" outlineLevel="0" collapsed="false">
      <c r="A1" s="5" t="s">
        <v>22</v>
      </c>
      <c r="B1" s="5" t="s">
        <v>23</v>
      </c>
      <c r="C1" s="5" t="s">
        <v>24</v>
      </c>
    </row>
    <row r="2" customFormat="false" ht="15" hidden="false" customHeight="true" outlineLevel="0" collapsed="false">
      <c r="A2" s="6" t="s">
        <v>25</v>
      </c>
      <c r="B2" s="6" t="s">
        <v>26</v>
      </c>
      <c r="C2" s="6" t="s">
        <v>27</v>
      </c>
    </row>
    <row r="3" customFormat="false" ht="15" hidden="false" customHeight="true" outlineLevel="0" collapsed="false">
      <c r="A3" s="7" t="s">
        <v>28</v>
      </c>
      <c r="B3" s="7" t="s">
        <v>29</v>
      </c>
      <c r="C3" s="7" t="s">
        <v>27</v>
      </c>
    </row>
    <row r="4" customFormat="false" ht="15" hidden="false" customHeight="true" outlineLevel="0" collapsed="false">
      <c r="A4" s="6" t="s">
        <v>30</v>
      </c>
      <c r="B4" s="6" t="s">
        <v>31</v>
      </c>
      <c r="C4" s="6" t="s">
        <v>27</v>
      </c>
    </row>
    <row r="5" customFormat="false" ht="15" hidden="false" customHeight="true" outlineLevel="0" collapsed="false">
      <c r="A5" s="7" t="s">
        <v>32</v>
      </c>
      <c r="B5" s="7" t="s">
        <v>33</v>
      </c>
      <c r="C5" s="7" t="s">
        <v>27</v>
      </c>
    </row>
    <row r="6" customFormat="false" ht="15" hidden="false" customHeight="true" outlineLevel="0" collapsed="false">
      <c r="A6" s="6" t="s">
        <v>34</v>
      </c>
      <c r="B6" s="6" t="s">
        <v>35</v>
      </c>
      <c r="C6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20"/>
  </cols>
  <sheetData>
    <row r="1" customFormat="false" ht="15" hidden="false" customHeight="true" outlineLevel="0" collapsed="false">
      <c r="A1" s="5" t="s">
        <v>36</v>
      </c>
      <c r="B1" s="5" t="s">
        <v>37</v>
      </c>
      <c r="C1" s="5" t="s">
        <v>38</v>
      </c>
    </row>
    <row r="2" customFormat="false" ht="15" hidden="false" customHeight="true" outlineLevel="0" collapsed="false">
      <c r="A2" s="6" t="s">
        <v>39</v>
      </c>
      <c r="B2" s="6" t="s">
        <v>40</v>
      </c>
      <c r="C2" s="6" t="n">
        <v>45</v>
      </c>
    </row>
    <row r="3" customFormat="false" ht="15" hidden="false" customHeight="true" outlineLevel="0" collapsed="false">
      <c r="A3" s="7" t="s">
        <v>41</v>
      </c>
      <c r="B3" s="7" t="s">
        <v>42</v>
      </c>
      <c r="C3" s="7" t="n">
        <v>30</v>
      </c>
    </row>
    <row r="4" customFormat="false" ht="15" hidden="false" customHeight="true" outlineLevel="0" collapsed="false">
      <c r="A4" s="6" t="s">
        <v>43</v>
      </c>
      <c r="B4" s="6" t="s">
        <v>44</v>
      </c>
      <c r="C4" s="6" t="n">
        <v>60</v>
      </c>
    </row>
    <row r="5" customFormat="false" ht="15" hidden="false" customHeight="true" outlineLevel="0" collapsed="false">
      <c r="A5" s="7" t="s">
        <v>45</v>
      </c>
      <c r="B5" s="7" t="s">
        <v>46</v>
      </c>
      <c r="C5" s="7" t="n">
        <v>20</v>
      </c>
    </row>
    <row r="6" customFormat="false" ht="15" hidden="false" customHeight="true" outlineLevel="0" collapsed="false">
      <c r="A6" s="6" t="s">
        <v>47</v>
      </c>
      <c r="B6" s="6" t="s">
        <v>48</v>
      </c>
      <c r="C6" s="6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8"/>
  </cols>
  <sheetData>
    <row r="1" customFormat="false" ht="15" hidden="false" customHeight="true" outlineLevel="0" collapsed="false">
      <c r="A1" s="5" t="s">
        <v>49</v>
      </c>
      <c r="B1" s="5" t="s">
        <v>50</v>
      </c>
      <c r="C1" s="5" t="s">
        <v>51</v>
      </c>
    </row>
    <row r="2" customFormat="false" ht="15" hidden="false" customHeight="true" outlineLevel="0" collapsed="false">
      <c r="A2" s="6" t="s">
        <v>52</v>
      </c>
      <c r="B2" s="6" t="s">
        <v>53</v>
      </c>
      <c r="C2" s="6" t="s">
        <v>54</v>
      </c>
    </row>
    <row r="3" customFormat="false" ht="15" hidden="false" customHeight="true" outlineLevel="0" collapsed="false">
      <c r="A3" s="7" t="s">
        <v>55</v>
      </c>
      <c r="B3" s="7" t="s">
        <v>56</v>
      </c>
      <c r="C3" s="7" t="s">
        <v>54</v>
      </c>
    </row>
    <row r="4" customFormat="false" ht="15" hidden="false" customHeight="true" outlineLevel="0" collapsed="false">
      <c r="A4" s="6" t="s">
        <v>57</v>
      </c>
      <c r="B4" s="6" t="s">
        <v>58</v>
      </c>
      <c r="C4" s="6" t="s">
        <v>54</v>
      </c>
    </row>
    <row r="5" customFormat="false" ht="15" hidden="false" customHeight="true" outlineLevel="0" collapsed="false">
      <c r="A5" s="7" t="s">
        <v>59</v>
      </c>
      <c r="B5" s="7" t="s">
        <v>53</v>
      </c>
      <c r="C5" s="7" t="s">
        <v>54</v>
      </c>
    </row>
    <row r="6" customFormat="false" ht="15" hidden="false" customHeight="true" outlineLevel="0" collapsed="false">
      <c r="A6" s="6" t="s">
        <v>60</v>
      </c>
      <c r="B6" s="6" t="s">
        <v>61</v>
      </c>
      <c r="C6" s="6" t="s">
        <v>54</v>
      </c>
    </row>
    <row r="7" customFormat="false" ht="15" hidden="false" customHeight="true" outlineLevel="0" collapsed="false">
      <c r="A7" s="7" t="s">
        <v>62</v>
      </c>
      <c r="B7" s="7" t="s">
        <v>58</v>
      </c>
      <c r="C7" s="7" t="s">
        <v>54</v>
      </c>
    </row>
    <row r="8" customFormat="false" ht="15" hidden="false" customHeight="true" outlineLevel="0" collapsed="false">
      <c r="A8" s="6" t="s">
        <v>63</v>
      </c>
      <c r="B8" s="6" t="s">
        <v>56</v>
      </c>
      <c r="C8" s="6" t="s">
        <v>64</v>
      </c>
    </row>
    <row r="9" customFormat="false" ht="15" hidden="false" customHeight="true" outlineLevel="0" collapsed="false">
      <c r="A9" s="7" t="s">
        <v>65</v>
      </c>
      <c r="B9" s="7" t="s">
        <v>58</v>
      </c>
      <c r="C9" s="7" t="s">
        <v>54</v>
      </c>
    </row>
    <row r="10" customFormat="false" ht="15" hidden="false" customHeight="true" outlineLevel="0" collapsed="false">
      <c r="A10" s="6" t="s">
        <v>66</v>
      </c>
      <c r="B10" s="6" t="s">
        <v>58</v>
      </c>
      <c r="C10" s="6" t="s">
        <v>64</v>
      </c>
    </row>
    <row r="11" customFormat="false" ht="15" hidden="false" customHeight="true" outlineLevel="0" collapsed="false">
      <c r="A11" s="7" t="s">
        <v>67</v>
      </c>
      <c r="B11" s="7" t="s">
        <v>58</v>
      </c>
      <c r="C11" s="7" t="s">
        <v>54</v>
      </c>
    </row>
    <row r="12" customFormat="false" ht="15" hidden="false" customHeight="true" outlineLevel="0" collapsed="false">
      <c r="A12" s="6" t="s">
        <v>68</v>
      </c>
      <c r="B12" s="6" t="s">
        <v>69</v>
      </c>
      <c r="C12" s="6" t="s">
        <v>54</v>
      </c>
    </row>
    <row r="13" customFormat="false" ht="15" hidden="false" customHeight="true" outlineLevel="0" collapsed="false">
      <c r="A13" s="7" t="s">
        <v>70</v>
      </c>
      <c r="B13" s="7" t="s">
        <v>61</v>
      </c>
      <c r="C13" s="7" t="s">
        <v>64</v>
      </c>
    </row>
    <row r="14" customFormat="false" ht="15" hidden="false" customHeight="true" outlineLevel="0" collapsed="false">
      <c r="A14" s="6" t="s">
        <v>71</v>
      </c>
      <c r="B14" s="6" t="s">
        <v>58</v>
      </c>
      <c r="C14" s="6" t="s">
        <v>54</v>
      </c>
    </row>
    <row r="15" customFormat="false" ht="15" hidden="false" customHeight="true" outlineLevel="0" collapsed="false">
      <c r="A15" s="7" t="s">
        <v>72</v>
      </c>
      <c r="B15" s="7" t="s">
        <v>58</v>
      </c>
      <c r="C15" s="7" t="s">
        <v>54</v>
      </c>
    </row>
    <row r="16" customFormat="false" ht="15" hidden="false" customHeight="true" outlineLevel="0" collapsed="false">
      <c r="A16" s="6" t="s">
        <v>73</v>
      </c>
      <c r="B16" s="6" t="s">
        <v>53</v>
      </c>
      <c r="C16" s="6" t="s">
        <v>64</v>
      </c>
    </row>
    <row r="17" customFormat="false" ht="15" hidden="false" customHeight="true" outlineLevel="0" collapsed="false">
      <c r="A17" s="7" t="s">
        <v>74</v>
      </c>
      <c r="B17" s="7" t="s">
        <v>69</v>
      </c>
      <c r="C17" s="7" t="s">
        <v>54</v>
      </c>
    </row>
    <row r="18" customFormat="false" ht="15" hidden="false" customHeight="true" outlineLevel="0" collapsed="false">
      <c r="A18" s="6" t="s">
        <v>75</v>
      </c>
      <c r="B18" s="6" t="s">
        <v>61</v>
      </c>
      <c r="C18" s="6" t="s">
        <v>64</v>
      </c>
    </row>
    <row r="19" customFormat="false" ht="15" hidden="false" customHeight="true" outlineLevel="0" collapsed="false">
      <c r="A19" s="7" t="s">
        <v>76</v>
      </c>
      <c r="B19" s="7" t="s">
        <v>61</v>
      </c>
      <c r="C19" s="7" t="s">
        <v>54</v>
      </c>
    </row>
    <row r="20" customFormat="false" ht="15" hidden="false" customHeight="true" outlineLevel="0" collapsed="false">
      <c r="A20" s="6" t="s">
        <v>77</v>
      </c>
      <c r="B20" s="6" t="s">
        <v>58</v>
      </c>
      <c r="C20" s="6" t="s">
        <v>54</v>
      </c>
    </row>
    <row r="21" customFormat="false" ht="15" hidden="false" customHeight="true" outlineLevel="0" collapsed="false">
      <c r="A21" s="7" t="s">
        <v>78</v>
      </c>
      <c r="B21" s="7" t="s">
        <v>53</v>
      </c>
      <c r="C21" s="7" t="s">
        <v>54</v>
      </c>
    </row>
    <row r="22" customFormat="false" ht="15" hidden="false" customHeight="true" outlineLevel="0" collapsed="false">
      <c r="A22" s="6" t="s">
        <v>79</v>
      </c>
      <c r="B22" s="6" t="s">
        <v>61</v>
      </c>
      <c r="C22" s="6" t="s">
        <v>54</v>
      </c>
    </row>
    <row r="23" customFormat="false" ht="15" hidden="false" customHeight="true" outlineLevel="0" collapsed="false">
      <c r="A23" s="7" t="s">
        <v>80</v>
      </c>
      <c r="B23" s="7" t="s">
        <v>61</v>
      </c>
      <c r="C23" s="7" t="s">
        <v>54</v>
      </c>
    </row>
    <row r="24" customFormat="false" ht="15" hidden="false" customHeight="true" outlineLevel="0" collapsed="false">
      <c r="A24" s="6" t="s">
        <v>81</v>
      </c>
      <c r="B24" s="6" t="s">
        <v>61</v>
      </c>
      <c r="C24" s="6" t="s">
        <v>54</v>
      </c>
    </row>
    <row r="25" customFormat="false" ht="15" hidden="false" customHeight="true" outlineLevel="0" collapsed="false">
      <c r="A25" s="7" t="s">
        <v>82</v>
      </c>
      <c r="B25" s="7" t="s">
        <v>56</v>
      </c>
      <c r="C25" s="7" t="s">
        <v>64</v>
      </c>
    </row>
    <row r="26" customFormat="false" ht="15" hidden="false" customHeight="true" outlineLevel="0" collapsed="false">
      <c r="A26" s="6" t="s">
        <v>83</v>
      </c>
      <c r="B26" s="6" t="s">
        <v>53</v>
      </c>
      <c r="C26" s="6" t="s">
        <v>64</v>
      </c>
    </row>
    <row r="27" customFormat="false" ht="15" hidden="false" customHeight="true" outlineLevel="0" collapsed="false">
      <c r="A27" s="7" t="s">
        <v>84</v>
      </c>
      <c r="B27" s="7" t="s">
        <v>61</v>
      </c>
      <c r="C27" s="7" t="s">
        <v>64</v>
      </c>
    </row>
    <row r="28" customFormat="false" ht="15" hidden="false" customHeight="true" outlineLevel="0" collapsed="false">
      <c r="A28" s="6" t="s">
        <v>85</v>
      </c>
      <c r="B28" s="6" t="s">
        <v>53</v>
      </c>
      <c r="C28" s="6" t="s">
        <v>64</v>
      </c>
    </row>
    <row r="29" customFormat="false" ht="15" hidden="false" customHeight="true" outlineLevel="0" collapsed="false">
      <c r="A29" s="7" t="s">
        <v>86</v>
      </c>
      <c r="B29" s="7" t="s">
        <v>69</v>
      </c>
      <c r="C29" s="7" t="s">
        <v>54</v>
      </c>
    </row>
    <row r="30" customFormat="false" ht="15" hidden="false" customHeight="true" outlineLevel="0" collapsed="false">
      <c r="A30" s="6" t="s">
        <v>87</v>
      </c>
      <c r="B30" s="6" t="s">
        <v>69</v>
      </c>
      <c r="C30" s="6" t="s">
        <v>54</v>
      </c>
    </row>
    <row r="31" customFormat="false" ht="15" hidden="false" customHeight="true" outlineLevel="0" collapsed="false">
      <c r="A31" s="7" t="s">
        <v>88</v>
      </c>
      <c r="B31" s="7" t="s">
        <v>61</v>
      </c>
      <c r="C31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5"/>
  </cols>
  <sheetData>
    <row r="1" customFormat="false" ht="15" hidden="false" customHeight="true" outlineLevel="0" collapsed="false">
      <c r="A1" s="5" t="s">
        <v>89</v>
      </c>
      <c r="B1" s="5" t="s">
        <v>49</v>
      </c>
      <c r="C1" s="5" t="s">
        <v>36</v>
      </c>
      <c r="D1" s="5" t="s">
        <v>22</v>
      </c>
      <c r="E1" s="5" t="s">
        <v>90</v>
      </c>
      <c r="F1" s="5" t="s">
        <v>91</v>
      </c>
      <c r="G1" s="5" t="s">
        <v>92</v>
      </c>
    </row>
    <row r="2" customFormat="false" ht="15" hidden="false" customHeight="true" outlineLevel="0" collapsed="false">
      <c r="A2" s="6" t="s">
        <v>93</v>
      </c>
      <c r="B2" s="6" t="s">
        <v>75</v>
      </c>
      <c r="C2" s="6" t="s">
        <v>45</v>
      </c>
      <c r="D2" s="6" t="s">
        <v>30</v>
      </c>
      <c r="E2" s="8" t="n">
        <v>46213</v>
      </c>
      <c r="F2" s="6" t="s">
        <v>94</v>
      </c>
      <c r="G2" s="6" t="n">
        <v>5</v>
      </c>
    </row>
    <row r="3" customFormat="false" ht="15" hidden="false" customHeight="true" outlineLevel="0" collapsed="false">
      <c r="A3" s="7" t="s">
        <v>95</v>
      </c>
      <c r="B3" s="7" t="s">
        <v>57</v>
      </c>
      <c r="C3" s="7" t="s">
        <v>39</v>
      </c>
      <c r="D3" s="7" t="s">
        <v>34</v>
      </c>
      <c r="E3" s="9" t="n">
        <v>46134</v>
      </c>
      <c r="F3" s="7" t="s">
        <v>94</v>
      </c>
      <c r="G3" s="7" t="n">
        <v>3</v>
      </c>
    </row>
    <row r="4" customFormat="false" ht="15" hidden="false" customHeight="true" outlineLevel="0" collapsed="false">
      <c r="A4" s="6" t="s">
        <v>96</v>
      </c>
      <c r="B4" s="6" t="s">
        <v>60</v>
      </c>
      <c r="C4" s="6" t="s">
        <v>45</v>
      </c>
      <c r="D4" s="6" t="s">
        <v>32</v>
      </c>
      <c r="E4" s="8" t="n">
        <v>46037</v>
      </c>
      <c r="F4" s="6" t="s">
        <v>97</v>
      </c>
      <c r="G4" s="6"/>
    </row>
    <row r="5" customFormat="false" ht="15" hidden="false" customHeight="true" outlineLevel="0" collapsed="false">
      <c r="A5" s="7" t="s">
        <v>98</v>
      </c>
      <c r="B5" s="7" t="s">
        <v>57</v>
      </c>
      <c r="C5" s="7" t="s">
        <v>47</v>
      </c>
      <c r="D5" s="7" t="s">
        <v>34</v>
      </c>
      <c r="E5" s="9" t="n">
        <v>46229</v>
      </c>
      <c r="F5" s="7" t="s">
        <v>99</v>
      </c>
      <c r="G5" s="7"/>
    </row>
    <row r="6" customFormat="false" ht="15" hidden="false" customHeight="true" outlineLevel="0" collapsed="false">
      <c r="A6" s="6" t="s">
        <v>100</v>
      </c>
      <c r="B6" s="6" t="s">
        <v>68</v>
      </c>
      <c r="C6" s="6" t="s">
        <v>43</v>
      </c>
      <c r="D6" s="6" t="s">
        <v>30</v>
      </c>
      <c r="E6" s="8" t="n">
        <v>46179</v>
      </c>
      <c r="F6" s="6" t="s">
        <v>94</v>
      </c>
      <c r="G6" s="6" t="n">
        <v>7</v>
      </c>
    </row>
    <row r="7" customFormat="false" ht="15" hidden="false" customHeight="true" outlineLevel="0" collapsed="false">
      <c r="A7" s="7" t="s">
        <v>101</v>
      </c>
      <c r="B7" s="7" t="s">
        <v>73</v>
      </c>
      <c r="C7" s="7" t="s">
        <v>39</v>
      </c>
      <c r="D7" s="7" t="s">
        <v>25</v>
      </c>
      <c r="E7" s="9" t="n">
        <v>46268</v>
      </c>
      <c r="F7" s="7" t="s">
        <v>94</v>
      </c>
      <c r="G7" s="7" t="n">
        <v>6</v>
      </c>
    </row>
    <row r="8" customFormat="false" ht="15" hidden="false" customHeight="true" outlineLevel="0" collapsed="false">
      <c r="A8" s="6" t="s">
        <v>102</v>
      </c>
      <c r="B8" s="6" t="s">
        <v>80</v>
      </c>
      <c r="C8" s="6" t="s">
        <v>39</v>
      </c>
      <c r="D8" s="6" t="s">
        <v>25</v>
      </c>
      <c r="E8" s="8" t="n">
        <v>46214</v>
      </c>
      <c r="F8" s="6" t="s">
        <v>94</v>
      </c>
      <c r="G8" s="6" t="n">
        <v>6</v>
      </c>
    </row>
    <row r="9" customFormat="false" ht="15" hidden="false" customHeight="true" outlineLevel="0" collapsed="false">
      <c r="A9" s="7" t="s">
        <v>103</v>
      </c>
      <c r="B9" s="7" t="s">
        <v>77</v>
      </c>
      <c r="C9" s="7" t="s">
        <v>45</v>
      </c>
      <c r="D9" s="7" t="s">
        <v>30</v>
      </c>
      <c r="E9" s="9" t="n">
        <v>46210</v>
      </c>
      <c r="F9" s="7" t="s">
        <v>94</v>
      </c>
      <c r="G9" s="7" t="n">
        <v>6</v>
      </c>
    </row>
    <row r="10" customFormat="false" ht="15" hidden="false" customHeight="true" outlineLevel="0" collapsed="false">
      <c r="A10" s="6" t="s">
        <v>104</v>
      </c>
      <c r="B10" s="6" t="s">
        <v>70</v>
      </c>
      <c r="C10" s="6" t="s">
        <v>39</v>
      </c>
      <c r="D10" s="6" t="s">
        <v>32</v>
      </c>
      <c r="E10" s="8" t="n">
        <v>46117</v>
      </c>
      <c r="F10" s="6" t="s">
        <v>94</v>
      </c>
      <c r="G10" s="6" t="n">
        <v>1</v>
      </c>
    </row>
    <row r="11" customFormat="false" ht="15" hidden="false" customHeight="true" outlineLevel="0" collapsed="false">
      <c r="A11" s="7" t="s">
        <v>105</v>
      </c>
      <c r="B11" s="7" t="s">
        <v>74</v>
      </c>
      <c r="C11" s="7" t="s">
        <v>39</v>
      </c>
      <c r="D11" s="7" t="s">
        <v>28</v>
      </c>
      <c r="E11" s="9" t="n">
        <v>46223</v>
      </c>
      <c r="F11" s="7" t="s">
        <v>94</v>
      </c>
      <c r="G11" s="7" t="n">
        <v>6</v>
      </c>
    </row>
    <row r="12" customFormat="false" ht="15" hidden="false" customHeight="true" outlineLevel="0" collapsed="false">
      <c r="A12" s="6" t="s">
        <v>106</v>
      </c>
      <c r="B12" s="6" t="s">
        <v>65</v>
      </c>
      <c r="C12" s="6" t="s">
        <v>45</v>
      </c>
      <c r="D12" s="6" t="s">
        <v>32</v>
      </c>
      <c r="E12" s="8" t="n">
        <v>46261</v>
      </c>
      <c r="F12" s="6" t="s">
        <v>99</v>
      </c>
      <c r="G12" s="6"/>
    </row>
    <row r="13" customFormat="false" ht="15" hidden="false" customHeight="true" outlineLevel="0" collapsed="false">
      <c r="A13" s="7" t="s">
        <v>107</v>
      </c>
      <c r="B13" s="7" t="s">
        <v>57</v>
      </c>
      <c r="C13" s="7" t="s">
        <v>41</v>
      </c>
      <c r="D13" s="7" t="s">
        <v>32</v>
      </c>
      <c r="E13" s="9" t="n">
        <v>46129</v>
      </c>
      <c r="F13" s="7" t="s">
        <v>94</v>
      </c>
      <c r="G13" s="7" t="n">
        <v>2</v>
      </c>
    </row>
    <row r="14" customFormat="false" ht="15" hidden="false" customHeight="true" outlineLevel="0" collapsed="false">
      <c r="A14" s="6" t="s">
        <v>108</v>
      </c>
      <c r="B14" s="6" t="s">
        <v>85</v>
      </c>
      <c r="C14" s="6" t="s">
        <v>45</v>
      </c>
      <c r="D14" s="6" t="s">
        <v>34</v>
      </c>
      <c r="E14" s="8" t="n">
        <v>46098</v>
      </c>
      <c r="F14" s="6" t="s">
        <v>94</v>
      </c>
      <c r="G14" s="6" t="n">
        <v>3</v>
      </c>
    </row>
    <row r="15" customFormat="false" ht="15" hidden="false" customHeight="true" outlineLevel="0" collapsed="false">
      <c r="A15" s="7" t="s">
        <v>109</v>
      </c>
      <c r="B15" s="7" t="s">
        <v>80</v>
      </c>
      <c r="C15" s="7" t="s">
        <v>45</v>
      </c>
      <c r="D15" s="7" t="s">
        <v>28</v>
      </c>
      <c r="E15" s="9" t="n">
        <v>46065</v>
      </c>
      <c r="F15" s="7" t="s">
        <v>94</v>
      </c>
      <c r="G15" s="7" t="n">
        <v>2</v>
      </c>
    </row>
    <row r="16" customFormat="false" ht="15" hidden="false" customHeight="true" outlineLevel="0" collapsed="false">
      <c r="A16" s="6" t="s">
        <v>110</v>
      </c>
      <c r="B16" s="6" t="s">
        <v>65</v>
      </c>
      <c r="C16" s="6" t="s">
        <v>41</v>
      </c>
      <c r="D16" s="6" t="s">
        <v>25</v>
      </c>
      <c r="E16" s="8" t="n">
        <v>46151</v>
      </c>
      <c r="F16" s="6" t="s">
        <v>99</v>
      </c>
      <c r="G16" s="6"/>
    </row>
    <row r="17" customFormat="false" ht="15" hidden="false" customHeight="true" outlineLevel="0" collapsed="false">
      <c r="A17" s="7" t="s">
        <v>111</v>
      </c>
      <c r="B17" s="7" t="s">
        <v>62</v>
      </c>
      <c r="C17" s="7" t="s">
        <v>43</v>
      </c>
      <c r="D17" s="7" t="s">
        <v>30</v>
      </c>
      <c r="E17" s="9" t="n">
        <v>46028</v>
      </c>
      <c r="F17" s="7" t="s">
        <v>94</v>
      </c>
      <c r="G17" s="7" t="n">
        <v>5</v>
      </c>
    </row>
    <row r="18" customFormat="false" ht="15" hidden="false" customHeight="true" outlineLevel="0" collapsed="false">
      <c r="A18" s="6" t="s">
        <v>112</v>
      </c>
      <c r="B18" s="6" t="s">
        <v>70</v>
      </c>
      <c r="C18" s="6" t="s">
        <v>47</v>
      </c>
      <c r="D18" s="6" t="s">
        <v>34</v>
      </c>
      <c r="E18" s="8" t="n">
        <v>46108</v>
      </c>
      <c r="F18" s="6" t="s">
        <v>97</v>
      </c>
      <c r="G18" s="6"/>
    </row>
    <row r="19" customFormat="false" ht="15" hidden="false" customHeight="true" outlineLevel="0" collapsed="false">
      <c r="A19" s="7" t="s">
        <v>113</v>
      </c>
      <c r="B19" s="7" t="s">
        <v>81</v>
      </c>
      <c r="C19" s="7" t="s">
        <v>47</v>
      </c>
      <c r="D19" s="7" t="s">
        <v>34</v>
      </c>
      <c r="E19" s="9" t="n">
        <v>46194</v>
      </c>
      <c r="F19" s="7" t="s">
        <v>94</v>
      </c>
      <c r="G19" s="7" t="n">
        <v>1</v>
      </c>
    </row>
    <row r="20" customFormat="false" ht="15" hidden="false" customHeight="true" outlineLevel="0" collapsed="false">
      <c r="A20" s="6" t="s">
        <v>114</v>
      </c>
      <c r="B20" s="6" t="s">
        <v>73</v>
      </c>
      <c r="C20" s="6" t="s">
        <v>47</v>
      </c>
      <c r="D20" s="6" t="s">
        <v>32</v>
      </c>
      <c r="E20" s="8" t="n">
        <v>46128</v>
      </c>
      <c r="F20" s="6" t="s">
        <v>94</v>
      </c>
      <c r="G20" s="6" t="n">
        <v>1</v>
      </c>
    </row>
    <row r="21" customFormat="false" ht="15" hidden="false" customHeight="true" outlineLevel="0" collapsed="false">
      <c r="A21" s="7" t="s">
        <v>115</v>
      </c>
      <c r="B21" s="7" t="s">
        <v>74</v>
      </c>
      <c r="C21" s="7" t="s">
        <v>45</v>
      </c>
      <c r="D21" s="7" t="s">
        <v>25</v>
      </c>
      <c r="E21" s="9" t="n">
        <v>46075</v>
      </c>
      <c r="F21" s="7" t="s">
        <v>94</v>
      </c>
      <c r="G21" s="7" t="n">
        <v>2</v>
      </c>
    </row>
    <row r="22" customFormat="false" ht="15" hidden="false" customHeight="true" outlineLevel="0" collapsed="false">
      <c r="A22" s="6" t="s">
        <v>116</v>
      </c>
      <c r="B22" s="6" t="s">
        <v>73</v>
      </c>
      <c r="C22" s="6" t="s">
        <v>41</v>
      </c>
      <c r="D22" s="6" t="s">
        <v>25</v>
      </c>
      <c r="E22" s="8" t="n">
        <v>46114</v>
      </c>
      <c r="F22" s="6" t="s">
        <v>94</v>
      </c>
      <c r="G22" s="6" t="n">
        <v>1</v>
      </c>
    </row>
    <row r="23" customFormat="false" ht="15" hidden="false" customHeight="true" outlineLevel="0" collapsed="false">
      <c r="A23" s="7" t="s">
        <v>117</v>
      </c>
      <c r="B23" s="7" t="s">
        <v>52</v>
      </c>
      <c r="C23" s="7" t="s">
        <v>47</v>
      </c>
      <c r="D23" s="7" t="s">
        <v>28</v>
      </c>
      <c r="E23" s="9" t="n">
        <v>46164</v>
      </c>
      <c r="F23" s="7" t="s">
        <v>94</v>
      </c>
      <c r="G23" s="7" t="n">
        <v>3</v>
      </c>
    </row>
    <row r="24" customFormat="false" ht="15" hidden="false" customHeight="true" outlineLevel="0" collapsed="false">
      <c r="A24" s="6" t="s">
        <v>118</v>
      </c>
      <c r="B24" s="6" t="s">
        <v>78</v>
      </c>
      <c r="C24" s="6" t="s">
        <v>39</v>
      </c>
      <c r="D24" s="6" t="s">
        <v>25</v>
      </c>
      <c r="E24" s="8" t="n">
        <v>46250</v>
      </c>
      <c r="F24" s="6" t="s">
        <v>94</v>
      </c>
      <c r="G24" s="6" t="n">
        <v>4</v>
      </c>
    </row>
    <row r="25" customFormat="false" ht="15" hidden="false" customHeight="true" outlineLevel="0" collapsed="false">
      <c r="A25" s="7" t="s">
        <v>119</v>
      </c>
      <c r="B25" s="7" t="s">
        <v>60</v>
      </c>
      <c r="C25" s="7" t="s">
        <v>43</v>
      </c>
      <c r="D25" s="7" t="s">
        <v>30</v>
      </c>
      <c r="E25" s="9" t="n">
        <v>46181</v>
      </c>
      <c r="F25" s="7" t="s">
        <v>94</v>
      </c>
      <c r="G25" s="7" t="n">
        <v>1</v>
      </c>
    </row>
    <row r="26" customFormat="false" ht="15" hidden="false" customHeight="true" outlineLevel="0" collapsed="false">
      <c r="A26" s="6" t="s">
        <v>120</v>
      </c>
      <c r="B26" s="6" t="s">
        <v>59</v>
      </c>
      <c r="C26" s="6" t="s">
        <v>45</v>
      </c>
      <c r="D26" s="6" t="s">
        <v>32</v>
      </c>
      <c r="E26" s="8" t="n">
        <v>46149</v>
      </c>
      <c r="F26" s="6" t="s">
        <v>94</v>
      </c>
      <c r="G26" s="6" t="n">
        <v>1</v>
      </c>
    </row>
    <row r="27" customFormat="false" ht="15" hidden="false" customHeight="true" outlineLevel="0" collapsed="false">
      <c r="A27" s="7" t="s">
        <v>121</v>
      </c>
      <c r="B27" s="7" t="s">
        <v>60</v>
      </c>
      <c r="C27" s="7" t="s">
        <v>39</v>
      </c>
      <c r="D27" s="7" t="s">
        <v>30</v>
      </c>
      <c r="E27" s="9" t="n">
        <v>46216</v>
      </c>
      <c r="F27" s="7" t="s">
        <v>94</v>
      </c>
      <c r="G27" s="7" t="n">
        <v>7</v>
      </c>
    </row>
    <row r="28" customFormat="false" ht="15" hidden="false" customHeight="true" outlineLevel="0" collapsed="false">
      <c r="A28" s="6" t="s">
        <v>122</v>
      </c>
      <c r="B28" s="6" t="s">
        <v>81</v>
      </c>
      <c r="C28" s="6" t="s">
        <v>41</v>
      </c>
      <c r="D28" s="6" t="s">
        <v>34</v>
      </c>
      <c r="E28" s="8" t="n">
        <v>46032</v>
      </c>
      <c r="F28" s="6" t="s">
        <v>94</v>
      </c>
      <c r="G28" s="6" t="n">
        <v>5</v>
      </c>
    </row>
    <row r="29" customFormat="false" ht="15" hidden="false" customHeight="true" outlineLevel="0" collapsed="false">
      <c r="A29" s="7" t="s">
        <v>123</v>
      </c>
      <c r="B29" s="7" t="s">
        <v>70</v>
      </c>
      <c r="C29" s="7" t="s">
        <v>41</v>
      </c>
      <c r="D29" s="7" t="s">
        <v>34</v>
      </c>
      <c r="E29" s="9" t="n">
        <v>46261</v>
      </c>
      <c r="F29" s="7" t="s">
        <v>94</v>
      </c>
      <c r="G29" s="7" t="n">
        <v>5</v>
      </c>
    </row>
    <row r="30" customFormat="false" ht="15" hidden="false" customHeight="true" outlineLevel="0" collapsed="false">
      <c r="A30" s="6" t="s">
        <v>124</v>
      </c>
      <c r="B30" s="6" t="s">
        <v>67</v>
      </c>
      <c r="C30" s="6" t="s">
        <v>39</v>
      </c>
      <c r="D30" s="6" t="s">
        <v>30</v>
      </c>
      <c r="E30" s="8" t="n">
        <v>46159</v>
      </c>
      <c r="F30" s="6" t="s">
        <v>94</v>
      </c>
      <c r="G30" s="6" t="n">
        <v>2</v>
      </c>
    </row>
    <row r="31" customFormat="false" ht="15" hidden="false" customHeight="true" outlineLevel="0" collapsed="false">
      <c r="A31" s="7" t="s">
        <v>125</v>
      </c>
      <c r="B31" s="7" t="s">
        <v>70</v>
      </c>
      <c r="C31" s="7" t="s">
        <v>41</v>
      </c>
      <c r="D31" s="7" t="s">
        <v>34</v>
      </c>
      <c r="E31" s="9" t="n">
        <v>46165</v>
      </c>
      <c r="F31" s="7" t="s">
        <v>99</v>
      </c>
      <c r="G31" s="7"/>
    </row>
    <row r="32" customFormat="false" ht="15" hidden="false" customHeight="true" outlineLevel="0" collapsed="false">
      <c r="A32" s="6" t="s">
        <v>126</v>
      </c>
      <c r="B32" s="6" t="s">
        <v>68</v>
      </c>
      <c r="C32" s="6" t="s">
        <v>41</v>
      </c>
      <c r="D32" s="6" t="s">
        <v>34</v>
      </c>
      <c r="E32" s="8" t="n">
        <v>46234</v>
      </c>
      <c r="F32" s="6" t="s">
        <v>99</v>
      </c>
      <c r="G32" s="6"/>
    </row>
    <row r="33" customFormat="false" ht="15" hidden="false" customHeight="true" outlineLevel="0" collapsed="false">
      <c r="A33" s="7" t="s">
        <v>127</v>
      </c>
      <c r="B33" s="7" t="s">
        <v>83</v>
      </c>
      <c r="C33" s="7" t="s">
        <v>41</v>
      </c>
      <c r="D33" s="7" t="s">
        <v>28</v>
      </c>
      <c r="E33" s="9" t="n">
        <v>46236</v>
      </c>
      <c r="F33" s="7" t="s">
        <v>94</v>
      </c>
      <c r="G33" s="7" t="n">
        <v>7</v>
      </c>
    </row>
    <row r="34" customFormat="false" ht="15" hidden="false" customHeight="true" outlineLevel="0" collapsed="false">
      <c r="A34" s="6" t="s">
        <v>128</v>
      </c>
      <c r="B34" s="6" t="s">
        <v>65</v>
      </c>
      <c r="C34" s="6" t="s">
        <v>41</v>
      </c>
      <c r="D34" s="6" t="s">
        <v>34</v>
      </c>
      <c r="E34" s="8" t="n">
        <v>46153</v>
      </c>
      <c r="F34" s="6" t="s">
        <v>94</v>
      </c>
      <c r="G34" s="6" t="n">
        <v>1</v>
      </c>
    </row>
    <row r="35" customFormat="false" ht="15" hidden="false" customHeight="true" outlineLevel="0" collapsed="false">
      <c r="A35" s="7" t="s">
        <v>129</v>
      </c>
      <c r="B35" s="7" t="s">
        <v>52</v>
      </c>
      <c r="C35" s="7" t="s">
        <v>43</v>
      </c>
      <c r="D35" s="7" t="s">
        <v>32</v>
      </c>
      <c r="E35" s="9" t="n">
        <v>46093</v>
      </c>
      <c r="F35" s="7" t="s">
        <v>94</v>
      </c>
      <c r="G35" s="7" t="n">
        <v>5</v>
      </c>
    </row>
    <row r="36" customFormat="false" ht="15" hidden="false" customHeight="true" outlineLevel="0" collapsed="false">
      <c r="A36" s="6" t="s">
        <v>130</v>
      </c>
      <c r="B36" s="6" t="s">
        <v>70</v>
      </c>
      <c r="C36" s="6" t="s">
        <v>45</v>
      </c>
      <c r="D36" s="6" t="s">
        <v>30</v>
      </c>
      <c r="E36" s="8" t="n">
        <v>46271</v>
      </c>
      <c r="F36" s="6" t="s">
        <v>97</v>
      </c>
      <c r="G36" s="6"/>
    </row>
    <row r="37" customFormat="false" ht="15" hidden="false" customHeight="true" outlineLevel="0" collapsed="false">
      <c r="A37" s="7" t="s">
        <v>131</v>
      </c>
      <c r="B37" s="7" t="s">
        <v>57</v>
      </c>
      <c r="C37" s="7" t="s">
        <v>41</v>
      </c>
      <c r="D37" s="7" t="s">
        <v>25</v>
      </c>
      <c r="E37" s="9" t="n">
        <v>46085</v>
      </c>
      <c r="F37" s="7" t="s">
        <v>94</v>
      </c>
      <c r="G37" s="7" t="n">
        <v>3</v>
      </c>
    </row>
    <row r="38" customFormat="false" ht="15" hidden="false" customHeight="true" outlineLevel="0" collapsed="false">
      <c r="A38" s="6" t="s">
        <v>132</v>
      </c>
      <c r="B38" s="6" t="s">
        <v>63</v>
      </c>
      <c r="C38" s="6" t="s">
        <v>45</v>
      </c>
      <c r="D38" s="6" t="s">
        <v>34</v>
      </c>
      <c r="E38" s="8" t="n">
        <v>46257</v>
      </c>
      <c r="F38" s="6" t="s">
        <v>94</v>
      </c>
      <c r="G38" s="6" t="n">
        <v>1</v>
      </c>
    </row>
    <row r="39" customFormat="false" ht="15" hidden="false" customHeight="true" outlineLevel="0" collapsed="false">
      <c r="A39" s="7" t="s">
        <v>133</v>
      </c>
      <c r="B39" s="7" t="s">
        <v>74</v>
      </c>
      <c r="C39" s="7" t="s">
        <v>43</v>
      </c>
      <c r="D39" s="7" t="s">
        <v>25</v>
      </c>
      <c r="E39" s="9" t="n">
        <v>46240</v>
      </c>
      <c r="F39" s="7" t="s">
        <v>94</v>
      </c>
      <c r="G39" s="7" t="n">
        <v>4</v>
      </c>
    </row>
    <row r="40" customFormat="false" ht="15" hidden="false" customHeight="true" outlineLevel="0" collapsed="false">
      <c r="A40" s="6" t="s">
        <v>134</v>
      </c>
      <c r="B40" s="6" t="s">
        <v>84</v>
      </c>
      <c r="C40" s="6" t="s">
        <v>41</v>
      </c>
      <c r="D40" s="6" t="s">
        <v>32</v>
      </c>
      <c r="E40" s="8" t="n">
        <v>46254</v>
      </c>
      <c r="F40" s="6" t="s">
        <v>94</v>
      </c>
      <c r="G40" s="6" t="n">
        <v>7</v>
      </c>
    </row>
    <row r="41" customFormat="false" ht="15" hidden="false" customHeight="true" outlineLevel="0" collapsed="false">
      <c r="A41" s="7" t="s">
        <v>135</v>
      </c>
      <c r="B41" s="7" t="s">
        <v>79</v>
      </c>
      <c r="C41" s="7" t="s">
        <v>43</v>
      </c>
      <c r="D41" s="7" t="s">
        <v>25</v>
      </c>
      <c r="E41" s="9" t="n">
        <v>46232</v>
      </c>
      <c r="F41" s="7" t="s">
        <v>97</v>
      </c>
      <c r="G41" s="7"/>
    </row>
    <row r="42" customFormat="false" ht="15" hidden="false" customHeight="true" outlineLevel="0" collapsed="false">
      <c r="A42" s="6" t="s">
        <v>136</v>
      </c>
      <c r="B42" s="6" t="s">
        <v>82</v>
      </c>
      <c r="C42" s="6" t="s">
        <v>45</v>
      </c>
      <c r="D42" s="6" t="s">
        <v>32</v>
      </c>
      <c r="E42" s="8" t="n">
        <v>46129</v>
      </c>
      <c r="F42" s="6" t="s">
        <v>94</v>
      </c>
      <c r="G42" s="6" t="n">
        <v>1</v>
      </c>
    </row>
    <row r="43" customFormat="false" ht="15" hidden="false" customHeight="true" outlineLevel="0" collapsed="false">
      <c r="A43" s="7" t="s">
        <v>137</v>
      </c>
      <c r="B43" s="7" t="s">
        <v>82</v>
      </c>
      <c r="C43" s="7" t="s">
        <v>41</v>
      </c>
      <c r="D43" s="7" t="s">
        <v>28</v>
      </c>
      <c r="E43" s="9" t="n">
        <v>46059</v>
      </c>
      <c r="F43" s="7" t="s">
        <v>94</v>
      </c>
      <c r="G43" s="7" t="n">
        <v>5</v>
      </c>
    </row>
    <row r="44" customFormat="false" ht="15" hidden="false" customHeight="true" outlineLevel="0" collapsed="false">
      <c r="A44" s="6" t="s">
        <v>138</v>
      </c>
      <c r="B44" s="6" t="s">
        <v>87</v>
      </c>
      <c r="C44" s="6" t="s">
        <v>45</v>
      </c>
      <c r="D44" s="6" t="s">
        <v>28</v>
      </c>
      <c r="E44" s="8" t="n">
        <v>46183</v>
      </c>
      <c r="F44" s="6" t="s">
        <v>99</v>
      </c>
      <c r="G44" s="6"/>
    </row>
    <row r="45" customFormat="false" ht="15" hidden="false" customHeight="true" outlineLevel="0" collapsed="false">
      <c r="A45" s="7" t="s">
        <v>139</v>
      </c>
      <c r="B45" s="7" t="s">
        <v>74</v>
      </c>
      <c r="C45" s="7" t="s">
        <v>43</v>
      </c>
      <c r="D45" s="7" t="s">
        <v>28</v>
      </c>
      <c r="E45" s="9" t="n">
        <v>46167</v>
      </c>
      <c r="F45" s="7" t="s">
        <v>94</v>
      </c>
      <c r="G45" s="7" t="n">
        <v>1</v>
      </c>
    </row>
    <row r="46" customFormat="false" ht="15" hidden="false" customHeight="true" outlineLevel="0" collapsed="false">
      <c r="A46" s="6" t="s">
        <v>140</v>
      </c>
      <c r="B46" s="6" t="s">
        <v>52</v>
      </c>
      <c r="C46" s="6" t="s">
        <v>39</v>
      </c>
      <c r="D46" s="6" t="s">
        <v>34</v>
      </c>
      <c r="E46" s="8" t="n">
        <v>46218</v>
      </c>
      <c r="F46" s="6" t="s">
        <v>97</v>
      </c>
      <c r="G46" s="6"/>
    </row>
    <row r="47" customFormat="false" ht="15" hidden="false" customHeight="true" outlineLevel="0" collapsed="false">
      <c r="A47" s="7" t="s">
        <v>141</v>
      </c>
      <c r="B47" s="7" t="s">
        <v>72</v>
      </c>
      <c r="C47" s="7" t="s">
        <v>41</v>
      </c>
      <c r="D47" s="7" t="s">
        <v>28</v>
      </c>
      <c r="E47" s="9" t="n">
        <v>46034</v>
      </c>
      <c r="F47" s="7" t="s">
        <v>94</v>
      </c>
      <c r="G47" s="7" t="n">
        <v>3</v>
      </c>
    </row>
    <row r="48" customFormat="false" ht="15" hidden="false" customHeight="true" outlineLevel="0" collapsed="false">
      <c r="A48" s="6" t="s">
        <v>142</v>
      </c>
      <c r="B48" s="6" t="s">
        <v>75</v>
      </c>
      <c r="C48" s="6" t="s">
        <v>41</v>
      </c>
      <c r="D48" s="6" t="s">
        <v>34</v>
      </c>
      <c r="E48" s="8" t="n">
        <v>46110</v>
      </c>
      <c r="F48" s="6" t="s">
        <v>94</v>
      </c>
      <c r="G48" s="6" t="n">
        <v>4</v>
      </c>
    </row>
    <row r="49" customFormat="false" ht="15" hidden="false" customHeight="true" outlineLevel="0" collapsed="false">
      <c r="A49" s="7" t="s">
        <v>143</v>
      </c>
      <c r="B49" s="7" t="s">
        <v>85</v>
      </c>
      <c r="C49" s="7" t="s">
        <v>41</v>
      </c>
      <c r="D49" s="7" t="s">
        <v>25</v>
      </c>
      <c r="E49" s="9" t="n">
        <v>46259</v>
      </c>
      <c r="F49" s="7" t="s">
        <v>94</v>
      </c>
      <c r="G49" s="7" t="n">
        <v>4</v>
      </c>
    </row>
    <row r="50" customFormat="false" ht="15" hidden="false" customHeight="true" outlineLevel="0" collapsed="false">
      <c r="A50" s="6" t="s">
        <v>144</v>
      </c>
      <c r="B50" s="6" t="s">
        <v>80</v>
      </c>
      <c r="C50" s="6" t="s">
        <v>47</v>
      </c>
      <c r="D50" s="6" t="s">
        <v>34</v>
      </c>
      <c r="E50" s="8" t="n">
        <v>46134</v>
      </c>
      <c r="F50" s="6" t="s">
        <v>99</v>
      </c>
      <c r="G50" s="6"/>
    </row>
    <row r="51" customFormat="false" ht="15" hidden="false" customHeight="true" outlineLevel="0" collapsed="false">
      <c r="A51" s="7" t="s">
        <v>145</v>
      </c>
      <c r="B51" s="7" t="s">
        <v>87</v>
      </c>
      <c r="C51" s="7" t="s">
        <v>47</v>
      </c>
      <c r="D51" s="7" t="s">
        <v>28</v>
      </c>
      <c r="E51" s="9" t="n">
        <v>46163</v>
      </c>
      <c r="F51" s="7" t="s">
        <v>94</v>
      </c>
      <c r="G51" s="7" t="n">
        <v>5</v>
      </c>
    </row>
    <row r="52" customFormat="false" ht="15" hidden="false" customHeight="true" outlineLevel="0" collapsed="false">
      <c r="A52" s="6" t="s">
        <v>146</v>
      </c>
      <c r="B52" s="6" t="s">
        <v>52</v>
      </c>
      <c r="C52" s="6" t="s">
        <v>45</v>
      </c>
      <c r="D52" s="6" t="s">
        <v>28</v>
      </c>
      <c r="E52" s="8" t="n">
        <v>46182</v>
      </c>
      <c r="F52" s="6" t="s">
        <v>94</v>
      </c>
      <c r="G52" s="6" t="n">
        <v>7</v>
      </c>
    </row>
    <row r="53" customFormat="false" ht="15" hidden="false" customHeight="true" outlineLevel="0" collapsed="false">
      <c r="A53" s="7" t="s">
        <v>147</v>
      </c>
      <c r="B53" s="7" t="s">
        <v>60</v>
      </c>
      <c r="C53" s="7" t="s">
        <v>41</v>
      </c>
      <c r="D53" s="7" t="s">
        <v>28</v>
      </c>
      <c r="E53" s="9" t="n">
        <v>46148</v>
      </c>
      <c r="F53" s="7" t="s">
        <v>94</v>
      </c>
      <c r="G53" s="7" t="n">
        <v>1</v>
      </c>
    </row>
    <row r="54" customFormat="false" ht="15" hidden="false" customHeight="true" outlineLevel="0" collapsed="false">
      <c r="A54" s="6" t="s">
        <v>148</v>
      </c>
      <c r="B54" s="6" t="s">
        <v>76</v>
      </c>
      <c r="C54" s="6" t="s">
        <v>39</v>
      </c>
      <c r="D54" s="6" t="s">
        <v>30</v>
      </c>
      <c r="E54" s="8" t="n">
        <v>46201</v>
      </c>
      <c r="F54" s="6" t="s">
        <v>94</v>
      </c>
      <c r="G54" s="6" t="n">
        <v>5</v>
      </c>
    </row>
    <row r="55" customFormat="false" ht="15" hidden="false" customHeight="true" outlineLevel="0" collapsed="false">
      <c r="A55" s="7" t="s">
        <v>149</v>
      </c>
      <c r="B55" s="7" t="s">
        <v>74</v>
      </c>
      <c r="C55" s="7" t="s">
        <v>39</v>
      </c>
      <c r="D55" s="7" t="s">
        <v>34</v>
      </c>
      <c r="E55" s="9" t="n">
        <v>46041</v>
      </c>
      <c r="F55" s="7" t="s">
        <v>94</v>
      </c>
      <c r="G55" s="7" t="n">
        <v>3</v>
      </c>
    </row>
    <row r="56" customFormat="false" ht="15" hidden="false" customHeight="true" outlineLevel="0" collapsed="false">
      <c r="A56" s="6" t="s">
        <v>150</v>
      </c>
      <c r="B56" s="6" t="s">
        <v>55</v>
      </c>
      <c r="C56" s="6" t="s">
        <v>39</v>
      </c>
      <c r="D56" s="6" t="s">
        <v>34</v>
      </c>
      <c r="E56" s="8" t="n">
        <v>46142</v>
      </c>
      <c r="F56" s="6" t="s">
        <v>94</v>
      </c>
      <c r="G56" s="6" t="n">
        <v>7</v>
      </c>
    </row>
    <row r="57" customFormat="false" ht="15" hidden="false" customHeight="true" outlineLevel="0" collapsed="false">
      <c r="A57" s="7" t="s">
        <v>151</v>
      </c>
      <c r="B57" s="7" t="s">
        <v>87</v>
      </c>
      <c r="C57" s="7" t="s">
        <v>39</v>
      </c>
      <c r="D57" s="7" t="s">
        <v>32</v>
      </c>
      <c r="E57" s="9" t="n">
        <v>46110</v>
      </c>
      <c r="F57" s="7" t="s">
        <v>94</v>
      </c>
      <c r="G57" s="7" t="n">
        <v>5</v>
      </c>
    </row>
    <row r="58" customFormat="false" ht="15" hidden="false" customHeight="true" outlineLevel="0" collapsed="false">
      <c r="A58" s="6" t="s">
        <v>152</v>
      </c>
      <c r="B58" s="6" t="s">
        <v>78</v>
      </c>
      <c r="C58" s="6" t="s">
        <v>47</v>
      </c>
      <c r="D58" s="6" t="s">
        <v>28</v>
      </c>
      <c r="E58" s="8" t="n">
        <v>46204</v>
      </c>
      <c r="F58" s="6" t="s">
        <v>94</v>
      </c>
      <c r="G58" s="6" t="n">
        <v>5</v>
      </c>
    </row>
    <row r="59" customFormat="false" ht="15" hidden="false" customHeight="true" outlineLevel="0" collapsed="false">
      <c r="A59" s="7" t="s">
        <v>153</v>
      </c>
      <c r="B59" s="7" t="s">
        <v>76</v>
      </c>
      <c r="C59" s="7" t="s">
        <v>45</v>
      </c>
      <c r="D59" s="7" t="s">
        <v>34</v>
      </c>
      <c r="E59" s="9" t="n">
        <v>46268</v>
      </c>
      <c r="F59" s="7" t="s">
        <v>94</v>
      </c>
      <c r="G59" s="7" t="n">
        <v>5</v>
      </c>
    </row>
    <row r="60" customFormat="false" ht="15" hidden="false" customHeight="true" outlineLevel="0" collapsed="false">
      <c r="A60" s="6" t="s">
        <v>154</v>
      </c>
      <c r="B60" s="6" t="s">
        <v>87</v>
      </c>
      <c r="C60" s="6" t="s">
        <v>43</v>
      </c>
      <c r="D60" s="6" t="s">
        <v>34</v>
      </c>
      <c r="E60" s="8" t="n">
        <v>46255</v>
      </c>
      <c r="F60" s="6" t="s">
        <v>97</v>
      </c>
      <c r="G60" s="6"/>
    </row>
    <row r="61" customFormat="false" ht="15" hidden="false" customHeight="true" outlineLevel="0" collapsed="false">
      <c r="A61" s="7" t="s">
        <v>155</v>
      </c>
      <c r="B61" s="7" t="s">
        <v>85</v>
      </c>
      <c r="C61" s="7" t="s">
        <v>45</v>
      </c>
      <c r="D61" s="7" t="s">
        <v>28</v>
      </c>
      <c r="E61" s="9" t="n">
        <v>46133</v>
      </c>
      <c r="F61" s="7" t="s">
        <v>94</v>
      </c>
      <c r="G61" s="7" t="n">
        <v>4</v>
      </c>
    </row>
    <row r="62" customFormat="false" ht="15" hidden="false" customHeight="true" outlineLevel="0" collapsed="false">
      <c r="A62" s="6" t="s">
        <v>156</v>
      </c>
      <c r="B62" s="6" t="s">
        <v>68</v>
      </c>
      <c r="C62" s="6" t="s">
        <v>39</v>
      </c>
      <c r="D62" s="6" t="s">
        <v>28</v>
      </c>
      <c r="E62" s="8" t="n">
        <v>46136</v>
      </c>
      <c r="F62" s="6" t="s">
        <v>94</v>
      </c>
      <c r="G62" s="6" t="n">
        <v>6</v>
      </c>
    </row>
    <row r="63" customFormat="false" ht="15" hidden="false" customHeight="true" outlineLevel="0" collapsed="false">
      <c r="A63" s="7" t="s">
        <v>157</v>
      </c>
      <c r="B63" s="7" t="s">
        <v>67</v>
      </c>
      <c r="C63" s="7" t="s">
        <v>39</v>
      </c>
      <c r="D63" s="7" t="s">
        <v>28</v>
      </c>
      <c r="E63" s="9" t="n">
        <v>46267</v>
      </c>
      <c r="F63" s="7" t="s">
        <v>94</v>
      </c>
      <c r="G63" s="7" t="n">
        <v>6</v>
      </c>
    </row>
    <row r="64" customFormat="false" ht="15" hidden="false" customHeight="true" outlineLevel="0" collapsed="false">
      <c r="A64" s="6" t="s">
        <v>158</v>
      </c>
      <c r="B64" s="6" t="s">
        <v>70</v>
      </c>
      <c r="C64" s="6" t="s">
        <v>41</v>
      </c>
      <c r="D64" s="6" t="s">
        <v>30</v>
      </c>
      <c r="E64" s="8" t="n">
        <v>46253</v>
      </c>
      <c r="F64" s="6" t="s">
        <v>94</v>
      </c>
      <c r="G64" s="6" t="n">
        <v>4</v>
      </c>
    </row>
    <row r="65" customFormat="false" ht="15" hidden="false" customHeight="true" outlineLevel="0" collapsed="false">
      <c r="A65" s="7" t="s">
        <v>159</v>
      </c>
      <c r="B65" s="7" t="s">
        <v>65</v>
      </c>
      <c r="C65" s="7" t="s">
        <v>39</v>
      </c>
      <c r="D65" s="7" t="s">
        <v>32</v>
      </c>
      <c r="E65" s="9" t="n">
        <v>46253</v>
      </c>
      <c r="F65" s="7" t="s">
        <v>94</v>
      </c>
      <c r="G65" s="7" t="n">
        <v>6</v>
      </c>
    </row>
    <row r="66" customFormat="false" ht="15" hidden="false" customHeight="true" outlineLevel="0" collapsed="false">
      <c r="A66" s="6" t="s">
        <v>160</v>
      </c>
      <c r="B66" s="6" t="s">
        <v>85</v>
      </c>
      <c r="C66" s="6" t="s">
        <v>41</v>
      </c>
      <c r="D66" s="6" t="s">
        <v>28</v>
      </c>
      <c r="E66" s="8" t="n">
        <v>46207</v>
      </c>
      <c r="F66" s="6" t="s">
        <v>94</v>
      </c>
      <c r="G66" s="6" t="n">
        <v>5</v>
      </c>
    </row>
    <row r="67" customFormat="false" ht="15" hidden="false" customHeight="true" outlineLevel="0" collapsed="false">
      <c r="A67" s="7" t="s">
        <v>161</v>
      </c>
      <c r="B67" s="7" t="s">
        <v>71</v>
      </c>
      <c r="C67" s="7" t="s">
        <v>43</v>
      </c>
      <c r="D67" s="7" t="s">
        <v>32</v>
      </c>
      <c r="E67" s="9" t="n">
        <v>46077</v>
      </c>
      <c r="F67" s="7" t="s">
        <v>94</v>
      </c>
      <c r="G67" s="7" t="n">
        <v>1</v>
      </c>
    </row>
    <row r="68" customFormat="false" ht="15" hidden="false" customHeight="true" outlineLevel="0" collapsed="false">
      <c r="A68" s="6" t="s">
        <v>162</v>
      </c>
      <c r="B68" s="6" t="s">
        <v>82</v>
      </c>
      <c r="C68" s="6" t="s">
        <v>43</v>
      </c>
      <c r="D68" s="6" t="s">
        <v>25</v>
      </c>
      <c r="E68" s="8" t="n">
        <v>46113</v>
      </c>
      <c r="F68" s="6" t="s">
        <v>94</v>
      </c>
      <c r="G68" s="6" t="n">
        <v>4</v>
      </c>
    </row>
    <row r="69" customFormat="false" ht="15" hidden="false" customHeight="true" outlineLevel="0" collapsed="false">
      <c r="A69" s="7" t="s">
        <v>163</v>
      </c>
      <c r="B69" s="7" t="s">
        <v>81</v>
      </c>
      <c r="C69" s="7" t="s">
        <v>39</v>
      </c>
      <c r="D69" s="7" t="s">
        <v>32</v>
      </c>
      <c r="E69" s="9" t="n">
        <v>46111</v>
      </c>
      <c r="F69" s="7" t="s">
        <v>94</v>
      </c>
      <c r="G69" s="7" t="n">
        <v>3</v>
      </c>
    </row>
    <row r="70" customFormat="false" ht="15" hidden="false" customHeight="true" outlineLevel="0" collapsed="false">
      <c r="A70" s="6" t="s">
        <v>164</v>
      </c>
      <c r="B70" s="6" t="s">
        <v>75</v>
      </c>
      <c r="C70" s="6" t="s">
        <v>39</v>
      </c>
      <c r="D70" s="6" t="s">
        <v>25</v>
      </c>
      <c r="E70" s="8" t="n">
        <v>46262</v>
      </c>
      <c r="F70" s="6" t="s">
        <v>99</v>
      </c>
      <c r="G70" s="6"/>
    </row>
    <row r="71" customFormat="false" ht="15" hidden="false" customHeight="true" outlineLevel="0" collapsed="false">
      <c r="A71" s="7" t="s">
        <v>165</v>
      </c>
      <c r="B71" s="7" t="s">
        <v>87</v>
      </c>
      <c r="C71" s="7" t="s">
        <v>39</v>
      </c>
      <c r="D71" s="7" t="s">
        <v>25</v>
      </c>
      <c r="E71" s="9" t="n">
        <v>46094</v>
      </c>
      <c r="F71" s="7" t="s">
        <v>94</v>
      </c>
      <c r="G71" s="7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7" min="6" style="1" width="12"/>
    <col collapsed="false" customWidth="true" hidden="false" outlineLevel="0" max="8" min="8" style="1" width="17"/>
  </cols>
  <sheetData>
    <row r="1" customFormat="false" ht="15" hidden="false" customHeight="true" outlineLevel="0" collapsed="false">
      <c r="A1" s="5" t="s">
        <v>89</v>
      </c>
      <c r="B1" s="5" t="s">
        <v>90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91</v>
      </c>
      <c r="H1" s="5" t="s">
        <v>170</v>
      </c>
    </row>
    <row r="2" customFormat="false" ht="15" hidden="false" customHeight="true" outlineLevel="0" collapsed="false">
      <c r="A2" s="6" t="str">
        <f aca="false">Scans!A2</f>
        <v>SC-2000</v>
      </c>
      <c r="B2" s="8" t="n">
        <f aca="false">Scans!E2</f>
        <v>46213</v>
      </c>
      <c r="C2" s="6" t="str">
        <f aca="false">INDEX(ScanTypes!$B$2:$B$6,MATCH(Scans!C2,ScanTypes!$A$2:$A$6,0))</f>
        <v>Thyroid Scan</v>
      </c>
      <c r="D2" s="6" t="str">
        <f aca="false">INDEX(Physicians!$B$2:$B$6,MATCH(Scans!D2,Physicians!$A$2:$A$6,0))</f>
        <v>Dr. Dlamini</v>
      </c>
      <c r="E2" s="6" t="str">
        <f aca="false">INDEX(Patients!$B$2:$B$31,MATCH(Scans!B2,Patients!$A$2:$A$31,0))</f>
        <v>76+</v>
      </c>
      <c r="F2" s="6" t="str">
        <f aca="false">INDEX(Patients!$C$2:$C$31,MATCH(Scans!B2,Patients!$A$2:$A$31,0))</f>
        <v>M</v>
      </c>
      <c r="G2" s="6" t="str">
        <f aca="false">Scans!F2</f>
        <v>Completed</v>
      </c>
      <c r="H2" s="6" t="n">
        <f aca="false">IF(Scans!G2="","",Scans!G2)</f>
        <v>5</v>
      </c>
    </row>
    <row r="3" customFormat="false" ht="15" hidden="false" customHeight="true" outlineLevel="0" collapsed="false">
      <c r="A3" s="7" t="str">
        <f aca="false">Scans!A3</f>
        <v>SC-2001</v>
      </c>
      <c r="B3" s="9" t="n">
        <f aca="false">Scans!E3</f>
        <v>46134</v>
      </c>
      <c r="C3" s="7" t="str">
        <f aca="false">INDEX(ScanTypes!$B$2:$B$6,MATCH(Scans!C3,ScanTypes!$A$2:$A$6,0))</f>
        <v>Bone Scan</v>
      </c>
      <c r="D3" s="7" t="str">
        <f aca="false">INDEX(Physicians!$B$2:$B$6,MATCH(Scans!D3,Physicians!$A$2:$A$6,0))</f>
        <v>Dr. Molefe</v>
      </c>
      <c r="E3" s="7" t="str">
        <f aca="false">INDEX(Patients!$B$2:$B$31,MATCH(Scans!B3,Patients!$A$2:$A$31,0))</f>
        <v>18-30</v>
      </c>
      <c r="F3" s="7" t="str">
        <f aca="false">INDEX(Patients!$C$2:$C$31,MATCH(Scans!B3,Patients!$A$2:$A$31,0))</f>
        <v>F</v>
      </c>
      <c r="G3" s="7" t="str">
        <f aca="false">Scans!F3</f>
        <v>Completed</v>
      </c>
      <c r="H3" s="7" t="n">
        <f aca="false">IF(Scans!G3="","",Scans!G3)</f>
        <v>3</v>
      </c>
    </row>
    <row r="4" customFormat="false" ht="15" hidden="false" customHeight="true" outlineLevel="0" collapsed="false">
      <c r="A4" s="6" t="str">
        <f aca="false">Scans!A4</f>
        <v>SC-2002</v>
      </c>
      <c r="B4" s="8" t="n">
        <f aca="false">Scans!E4</f>
        <v>46037</v>
      </c>
      <c r="C4" s="6" t="str">
        <f aca="false">INDEX(ScanTypes!$B$2:$B$6,MATCH(Scans!C4,ScanTypes!$A$2:$A$6,0))</f>
        <v>Thyroid Scan</v>
      </c>
      <c r="D4" s="6" t="str">
        <f aca="false">INDEX(Physicians!$B$2:$B$6,MATCH(Scans!D4,Physicians!$A$2:$A$6,0))</f>
        <v>Dr. Pretorius</v>
      </c>
      <c r="E4" s="6" t="str">
        <f aca="false">INDEX(Patients!$B$2:$B$31,MATCH(Scans!B4,Patients!$A$2:$A$31,0))</f>
        <v>76+</v>
      </c>
      <c r="F4" s="6" t="str">
        <f aca="false">INDEX(Patients!$C$2:$C$31,MATCH(Scans!B4,Patients!$A$2:$A$31,0))</f>
        <v>F</v>
      </c>
      <c r="G4" s="6" t="str">
        <f aca="false">Scans!F4</f>
        <v>Cancelled</v>
      </c>
      <c r="H4" s="6" t="str">
        <f aca="false">IF(Scans!G4="","",Scans!G4)</f>
        <v/>
      </c>
    </row>
    <row r="5" customFormat="false" ht="15" hidden="false" customHeight="true" outlineLevel="0" collapsed="false">
      <c r="A5" s="7" t="str">
        <f aca="false">Scans!A5</f>
        <v>SC-2003</v>
      </c>
      <c r="B5" s="9" t="n">
        <f aca="false">Scans!E5</f>
        <v>46229</v>
      </c>
      <c r="C5" s="7" t="str">
        <f aca="false">INDEX(ScanTypes!$B$2:$B$6,MATCH(Scans!C5,ScanTypes!$A$2:$A$6,0))</f>
        <v>Prostate Scan</v>
      </c>
      <c r="D5" s="7" t="str">
        <f aca="false">INDEX(Physicians!$B$2:$B$6,MATCH(Scans!D5,Physicians!$A$2:$A$6,0))</f>
        <v>Dr. Molefe</v>
      </c>
      <c r="E5" s="7" t="str">
        <f aca="false">INDEX(Patients!$B$2:$B$31,MATCH(Scans!B5,Patients!$A$2:$A$31,0))</f>
        <v>18-30</v>
      </c>
      <c r="F5" s="7" t="str">
        <f aca="false">INDEX(Patients!$C$2:$C$31,MATCH(Scans!B5,Patients!$A$2:$A$31,0))</f>
        <v>F</v>
      </c>
      <c r="G5" s="7" t="str">
        <f aca="false">Scans!F5</f>
        <v>Pending</v>
      </c>
      <c r="H5" s="7" t="str">
        <f aca="false">IF(Scans!G5="","",Scans!G5)</f>
        <v/>
      </c>
    </row>
    <row r="6" customFormat="false" ht="15" hidden="false" customHeight="true" outlineLevel="0" collapsed="false">
      <c r="A6" s="6" t="str">
        <f aca="false">Scans!A6</f>
        <v>SC-2004</v>
      </c>
      <c r="B6" s="8" t="n">
        <f aca="false">Scans!E6</f>
        <v>46179</v>
      </c>
      <c r="C6" s="6" t="str">
        <f aca="false">INDEX(ScanTypes!$B$2:$B$6,MATCH(Scans!C6,ScanTypes!$A$2:$A$6,0))</f>
        <v>Myocardial Perfusion Study</v>
      </c>
      <c r="D6" s="6" t="str">
        <f aca="false">INDEX(Physicians!$B$2:$B$6,MATCH(Scans!D6,Physicians!$A$2:$A$6,0))</f>
        <v>Dr. Dlamini</v>
      </c>
      <c r="E6" s="6" t="str">
        <f aca="false">INDEX(Patients!$B$2:$B$31,MATCH(Scans!B6,Patients!$A$2:$A$31,0))</f>
        <v>31-45</v>
      </c>
      <c r="F6" s="6" t="str">
        <f aca="false">INDEX(Patients!$C$2:$C$31,MATCH(Scans!B6,Patients!$A$2:$A$31,0))</f>
        <v>F</v>
      </c>
      <c r="G6" s="6" t="str">
        <f aca="false">Scans!F6</f>
        <v>Completed</v>
      </c>
      <c r="H6" s="6" t="n">
        <f aca="false">IF(Scans!G6="","",Scans!G6)</f>
        <v>7</v>
      </c>
    </row>
    <row r="7" customFormat="false" ht="15" hidden="false" customHeight="true" outlineLevel="0" collapsed="false">
      <c r="A7" s="7" t="str">
        <f aca="false">Scans!A7</f>
        <v>SC-2005</v>
      </c>
      <c r="B7" s="9" t="n">
        <f aca="false">Scans!E7</f>
        <v>46268</v>
      </c>
      <c r="C7" s="7" t="str">
        <f aca="false">INDEX(ScanTypes!$B$2:$B$6,MATCH(Scans!C7,ScanTypes!$A$2:$A$6,0))</f>
        <v>Bone Scan</v>
      </c>
      <c r="D7" s="7" t="str">
        <f aca="false">INDEX(Physicians!$B$2:$B$6,MATCH(Scans!D7,Physicians!$A$2:$A$6,0))</f>
        <v>Dr. Nkosi</v>
      </c>
      <c r="E7" s="7" t="str">
        <f aca="false">INDEX(Patients!$B$2:$B$31,MATCH(Scans!B7,Patients!$A$2:$A$31,0))</f>
        <v>46-60</v>
      </c>
      <c r="F7" s="7" t="str">
        <f aca="false">INDEX(Patients!$C$2:$C$31,MATCH(Scans!B7,Patients!$A$2:$A$31,0))</f>
        <v>M</v>
      </c>
      <c r="G7" s="7" t="str">
        <f aca="false">Scans!F7</f>
        <v>Completed</v>
      </c>
      <c r="H7" s="7" t="n">
        <f aca="false">IF(Scans!G7="","",Scans!G7)</f>
        <v>6</v>
      </c>
    </row>
    <row r="8" customFormat="false" ht="15" hidden="false" customHeight="true" outlineLevel="0" collapsed="false">
      <c r="A8" s="6" t="str">
        <f aca="false">Scans!A8</f>
        <v>SC-2006</v>
      </c>
      <c r="B8" s="8" t="n">
        <f aca="false">Scans!E8</f>
        <v>46214</v>
      </c>
      <c r="C8" s="6" t="str">
        <f aca="false">INDEX(ScanTypes!$B$2:$B$6,MATCH(Scans!C8,ScanTypes!$A$2:$A$6,0))</f>
        <v>Bone Scan</v>
      </c>
      <c r="D8" s="6" t="str">
        <f aca="false">INDEX(Physicians!$B$2:$B$6,MATCH(Scans!D8,Physicians!$A$2:$A$6,0))</f>
        <v>Dr. Nkosi</v>
      </c>
      <c r="E8" s="6" t="str">
        <f aca="false">INDEX(Patients!$B$2:$B$31,MATCH(Scans!B8,Patients!$A$2:$A$31,0))</f>
        <v>76+</v>
      </c>
      <c r="F8" s="6" t="str">
        <f aca="false">INDEX(Patients!$C$2:$C$31,MATCH(Scans!B8,Patients!$A$2:$A$31,0))</f>
        <v>F</v>
      </c>
      <c r="G8" s="6" t="str">
        <f aca="false">Scans!F8</f>
        <v>Completed</v>
      </c>
      <c r="H8" s="6" t="n">
        <f aca="false">IF(Scans!G8="","",Scans!G8)</f>
        <v>6</v>
      </c>
    </row>
    <row r="9" customFormat="false" ht="15" hidden="false" customHeight="true" outlineLevel="0" collapsed="false">
      <c r="A9" s="7" t="str">
        <f aca="false">Scans!A9</f>
        <v>SC-2007</v>
      </c>
      <c r="B9" s="9" t="n">
        <f aca="false">Scans!E9</f>
        <v>46210</v>
      </c>
      <c r="C9" s="7" t="str">
        <f aca="false">INDEX(ScanTypes!$B$2:$B$6,MATCH(Scans!C9,ScanTypes!$A$2:$A$6,0))</f>
        <v>Thyroid Scan</v>
      </c>
      <c r="D9" s="7" t="str">
        <f aca="false">INDEX(Physicians!$B$2:$B$6,MATCH(Scans!D9,Physicians!$A$2:$A$6,0))</f>
        <v>Dr. Dlamini</v>
      </c>
      <c r="E9" s="7" t="str">
        <f aca="false">INDEX(Patients!$B$2:$B$31,MATCH(Scans!B9,Patients!$A$2:$A$31,0))</f>
        <v>18-30</v>
      </c>
      <c r="F9" s="7" t="str">
        <f aca="false">INDEX(Patients!$C$2:$C$31,MATCH(Scans!B9,Patients!$A$2:$A$31,0))</f>
        <v>F</v>
      </c>
      <c r="G9" s="7" t="str">
        <f aca="false">Scans!F9</f>
        <v>Completed</v>
      </c>
      <c r="H9" s="7" t="n">
        <f aca="false">IF(Scans!G9="","",Scans!G9)</f>
        <v>6</v>
      </c>
    </row>
    <row r="10" customFormat="false" ht="15" hidden="false" customHeight="true" outlineLevel="0" collapsed="false">
      <c r="A10" s="6" t="str">
        <f aca="false">Scans!A10</f>
        <v>SC-2008</v>
      </c>
      <c r="B10" s="8" t="n">
        <f aca="false">Scans!E10</f>
        <v>46117</v>
      </c>
      <c r="C10" s="6" t="str">
        <f aca="false">INDEX(ScanTypes!$B$2:$B$6,MATCH(Scans!C10,ScanTypes!$A$2:$A$6,0))</f>
        <v>Bone Scan</v>
      </c>
      <c r="D10" s="6" t="str">
        <f aca="false">INDEX(Physicians!$B$2:$B$6,MATCH(Scans!D10,Physicians!$A$2:$A$6,0))</f>
        <v>Dr. Pretorius</v>
      </c>
      <c r="E10" s="6" t="str">
        <f aca="false">INDEX(Patients!$B$2:$B$31,MATCH(Scans!B10,Patients!$A$2:$A$31,0))</f>
        <v>76+</v>
      </c>
      <c r="F10" s="6" t="str">
        <f aca="false">INDEX(Patients!$C$2:$C$31,MATCH(Scans!B10,Patients!$A$2:$A$31,0))</f>
        <v>M</v>
      </c>
      <c r="G10" s="6" t="str">
        <f aca="false">Scans!F10</f>
        <v>Completed</v>
      </c>
      <c r="H10" s="6" t="n">
        <f aca="false">IF(Scans!G10="","",Scans!G10)</f>
        <v>1</v>
      </c>
    </row>
    <row r="11" customFormat="false" ht="15" hidden="false" customHeight="true" outlineLevel="0" collapsed="false">
      <c r="A11" s="7" t="str">
        <f aca="false">Scans!A11</f>
        <v>SC-2009</v>
      </c>
      <c r="B11" s="9" t="n">
        <f aca="false">Scans!E11</f>
        <v>46223</v>
      </c>
      <c r="C11" s="7" t="str">
        <f aca="false">INDEX(ScanTypes!$B$2:$B$6,MATCH(Scans!C11,ScanTypes!$A$2:$A$6,0))</f>
        <v>Bone Scan</v>
      </c>
      <c r="D11" s="7" t="str">
        <f aca="false">INDEX(Physicians!$B$2:$B$6,MATCH(Scans!D11,Physicians!$A$2:$A$6,0))</f>
        <v>Dr. van Wyk</v>
      </c>
      <c r="E11" s="7" t="str">
        <f aca="false">INDEX(Patients!$B$2:$B$31,MATCH(Scans!B11,Patients!$A$2:$A$31,0))</f>
        <v>31-45</v>
      </c>
      <c r="F11" s="7" t="str">
        <f aca="false">INDEX(Patients!$C$2:$C$31,MATCH(Scans!B11,Patients!$A$2:$A$31,0))</f>
        <v>F</v>
      </c>
      <c r="G11" s="7" t="str">
        <f aca="false">Scans!F11</f>
        <v>Completed</v>
      </c>
      <c r="H11" s="7" t="n">
        <f aca="false">IF(Scans!G11="","",Scans!G11)</f>
        <v>6</v>
      </c>
    </row>
    <row r="12" customFormat="false" ht="15" hidden="false" customHeight="true" outlineLevel="0" collapsed="false">
      <c r="A12" s="6" t="str">
        <f aca="false">Scans!A12</f>
        <v>SC-2010</v>
      </c>
      <c r="B12" s="8" t="n">
        <f aca="false">Scans!E12</f>
        <v>46261</v>
      </c>
      <c r="C12" s="6" t="str">
        <f aca="false">INDEX(ScanTypes!$B$2:$B$6,MATCH(Scans!C12,ScanTypes!$A$2:$A$6,0))</f>
        <v>Thyroid Scan</v>
      </c>
      <c r="D12" s="6" t="str">
        <f aca="false">INDEX(Physicians!$B$2:$B$6,MATCH(Scans!D12,Physicians!$A$2:$A$6,0))</f>
        <v>Dr. Pretorius</v>
      </c>
      <c r="E12" s="6" t="str">
        <f aca="false">INDEX(Patients!$B$2:$B$31,MATCH(Scans!B12,Patients!$A$2:$A$31,0))</f>
        <v>18-30</v>
      </c>
      <c r="F12" s="6" t="str">
        <f aca="false">INDEX(Patients!$C$2:$C$31,MATCH(Scans!B12,Patients!$A$2:$A$31,0))</f>
        <v>F</v>
      </c>
      <c r="G12" s="6" t="str">
        <f aca="false">Scans!F12</f>
        <v>Pending</v>
      </c>
      <c r="H12" s="6" t="str">
        <f aca="false">IF(Scans!G12="","",Scans!G12)</f>
        <v/>
      </c>
    </row>
    <row r="13" customFormat="false" ht="15" hidden="false" customHeight="true" outlineLevel="0" collapsed="false">
      <c r="A13" s="7" t="str">
        <f aca="false">Scans!A13</f>
        <v>SC-2011</v>
      </c>
      <c r="B13" s="9" t="n">
        <f aca="false">Scans!E13</f>
        <v>46129</v>
      </c>
      <c r="C13" s="7" t="str">
        <f aca="false">INDEX(ScanTypes!$B$2:$B$6,MATCH(Scans!C13,ScanTypes!$A$2:$A$6,0))</f>
        <v>Lung Perfusion Scan</v>
      </c>
      <c r="D13" s="7" t="str">
        <f aca="false">INDEX(Physicians!$B$2:$B$6,MATCH(Scans!D13,Physicians!$A$2:$A$6,0))</f>
        <v>Dr. Pretorius</v>
      </c>
      <c r="E13" s="7" t="str">
        <f aca="false">INDEX(Patients!$B$2:$B$31,MATCH(Scans!B13,Patients!$A$2:$A$31,0))</f>
        <v>18-30</v>
      </c>
      <c r="F13" s="7" t="str">
        <f aca="false">INDEX(Patients!$C$2:$C$31,MATCH(Scans!B13,Patients!$A$2:$A$31,0))</f>
        <v>F</v>
      </c>
      <c r="G13" s="7" t="str">
        <f aca="false">Scans!F13</f>
        <v>Completed</v>
      </c>
      <c r="H13" s="7" t="n">
        <f aca="false">IF(Scans!G13="","",Scans!G13)</f>
        <v>2</v>
      </c>
    </row>
    <row r="14" customFormat="false" ht="15" hidden="false" customHeight="true" outlineLevel="0" collapsed="false">
      <c r="A14" s="6" t="str">
        <f aca="false">Scans!A14</f>
        <v>SC-2012</v>
      </c>
      <c r="B14" s="8" t="n">
        <f aca="false">Scans!E14</f>
        <v>46098</v>
      </c>
      <c r="C14" s="6" t="str">
        <f aca="false">INDEX(ScanTypes!$B$2:$B$6,MATCH(Scans!C14,ScanTypes!$A$2:$A$6,0))</f>
        <v>Thyroid Scan</v>
      </c>
      <c r="D14" s="6" t="str">
        <f aca="false">INDEX(Physicians!$B$2:$B$6,MATCH(Scans!D14,Physicians!$A$2:$A$6,0))</f>
        <v>Dr. Molefe</v>
      </c>
      <c r="E14" s="6" t="str">
        <f aca="false">INDEX(Patients!$B$2:$B$31,MATCH(Scans!B14,Patients!$A$2:$A$31,0))</f>
        <v>46-60</v>
      </c>
      <c r="F14" s="6" t="str">
        <f aca="false">INDEX(Patients!$C$2:$C$31,MATCH(Scans!B14,Patients!$A$2:$A$31,0))</f>
        <v>M</v>
      </c>
      <c r="G14" s="6" t="str">
        <f aca="false">Scans!F14</f>
        <v>Completed</v>
      </c>
      <c r="H14" s="6" t="n">
        <f aca="false">IF(Scans!G14="","",Scans!G14)</f>
        <v>3</v>
      </c>
    </row>
    <row r="15" customFormat="false" ht="15" hidden="false" customHeight="true" outlineLevel="0" collapsed="false">
      <c r="A15" s="7" t="str">
        <f aca="false">Scans!A15</f>
        <v>SC-2013</v>
      </c>
      <c r="B15" s="9" t="n">
        <f aca="false">Scans!E15</f>
        <v>46065</v>
      </c>
      <c r="C15" s="7" t="str">
        <f aca="false">INDEX(ScanTypes!$B$2:$B$6,MATCH(Scans!C15,ScanTypes!$A$2:$A$6,0))</f>
        <v>Thyroid Scan</v>
      </c>
      <c r="D15" s="7" t="str">
        <f aca="false">INDEX(Physicians!$B$2:$B$6,MATCH(Scans!D15,Physicians!$A$2:$A$6,0))</f>
        <v>Dr. van Wyk</v>
      </c>
      <c r="E15" s="7" t="str">
        <f aca="false">INDEX(Patients!$B$2:$B$31,MATCH(Scans!B15,Patients!$A$2:$A$31,0))</f>
        <v>76+</v>
      </c>
      <c r="F15" s="7" t="str">
        <f aca="false">INDEX(Patients!$C$2:$C$31,MATCH(Scans!B15,Patients!$A$2:$A$31,0))</f>
        <v>F</v>
      </c>
      <c r="G15" s="7" t="str">
        <f aca="false">Scans!F15</f>
        <v>Completed</v>
      </c>
      <c r="H15" s="7" t="n">
        <f aca="false">IF(Scans!G15="","",Scans!G15)</f>
        <v>2</v>
      </c>
    </row>
    <row r="16" customFormat="false" ht="15" hidden="false" customHeight="true" outlineLevel="0" collapsed="false">
      <c r="A16" s="6" t="str">
        <f aca="false">Scans!A16</f>
        <v>SC-2014</v>
      </c>
      <c r="B16" s="8" t="n">
        <f aca="false">Scans!E16</f>
        <v>46151</v>
      </c>
      <c r="C16" s="6" t="str">
        <f aca="false">INDEX(ScanTypes!$B$2:$B$6,MATCH(Scans!C16,ScanTypes!$A$2:$A$6,0))</f>
        <v>Lung Perfusion Scan</v>
      </c>
      <c r="D16" s="6" t="str">
        <f aca="false">INDEX(Physicians!$B$2:$B$6,MATCH(Scans!D16,Physicians!$A$2:$A$6,0))</f>
        <v>Dr. Nkosi</v>
      </c>
      <c r="E16" s="6" t="str">
        <f aca="false">INDEX(Patients!$B$2:$B$31,MATCH(Scans!B16,Patients!$A$2:$A$31,0))</f>
        <v>18-30</v>
      </c>
      <c r="F16" s="6" t="str">
        <f aca="false">INDEX(Patients!$C$2:$C$31,MATCH(Scans!B16,Patients!$A$2:$A$31,0))</f>
        <v>F</v>
      </c>
      <c r="G16" s="6" t="str">
        <f aca="false">Scans!F16</f>
        <v>Pending</v>
      </c>
      <c r="H16" s="6" t="str">
        <f aca="false">IF(Scans!G16="","",Scans!G16)</f>
        <v/>
      </c>
    </row>
    <row r="17" customFormat="false" ht="15" hidden="false" customHeight="true" outlineLevel="0" collapsed="false">
      <c r="A17" s="7" t="str">
        <f aca="false">Scans!A17</f>
        <v>SC-2015</v>
      </c>
      <c r="B17" s="9" t="n">
        <f aca="false">Scans!E17</f>
        <v>46028</v>
      </c>
      <c r="C17" s="7" t="str">
        <f aca="false">INDEX(ScanTypes!$B$2:$B$6,MATCH(Scans!C17,ScanTypes!$A$2:$A$6,0))</f>
        <v>Myocardial Perfusion Study</v>
      </c>
      <c r="D17" s="7" t="str">
        <f aca="false">INDEX(Physicians!$B$2:$B$6,MATCH(Scans!D17,Physicians!$A$2:$A$6,0))</f>
        <v>Dr. Dlamini</v>
      </c>
      <c r="E17" s="7" t="str">
        <f aca="false">INDEX(Patients!$B$2:$B$31,MATCH(Scans!B17,Patients!$A$2:$A$31,0))</f>
        <v>18-30</v>
      </c>
      <c r="F17" s="7" t="str">
        <f aca="false">INDEX(Patients!$C$2:$C$31,MATCH(Scans!B17,Patients!$A$2:$A$31,0))</f>
        <v>F</v>
      </c>
      <c r="G17" s="7" t="str">
        <f aca="false">Scans!F17</f>
        <v>Completed</v>
      </c>
      <c r="H17" s="7" t="n">
        <f aca="false">IF(Scans!G17="","",Scans!G17)</f>
        <v>5</v>
      </c>
    </row>
    <row r="18" customFormat="false" ht="15" hidden="false" customHeight="true" outlineLevel="0" collapsed="false">
      <c r="A18" s="6" t="str">
        <f aca="false">Scans!A18</f>
        <v>SC-2016</v>
      </c>
      <c r="B18" s="8" t="n">
        <f aca="false">Scans!E18</f>
        <v>46108</v>
      </c>
      <c r="C18" s="6" t="str">
        <f aca="false">INDEX(ScanTypes!$B$2:$B$6,MATCH(Scans!C18,ScanTypes!$A$2:$A$6,0))</f>
        <v>Prostate Scan</v>
      </c>
      <c r="D18" s="6" t="str">
        <f aca="false">INDEX(Physicians!$B$2:$B$6,MATCH(Scans!D18,Physicians!$A$2:$A$6,0))</f>
        <v>Dr. Molefe</v>
      </c>
      <c r="E18" s="6" t="str">
        <f aca="false">INDEX(Patients!$B$2:$B$31,MATCH(Scans!B18,Patients!$A$2:$A$31,0))</f>
        <v>76+</v>
      </c>
      <c r="F18" s="6" t="str">
        <f aca="false">INDEX(Patients!$C$2:$C$31,MATCH(Scans!B18,Patients!$A$2:$A$31,0))</f>
        <v>M</v>
      </c>
      <c r="G18" s="6" t="str">
        <f aca="false">Scans!F18</f>
        <v>Cancelled</v>
      </c>
      <c r="H18" s="6" t="str">
        <f aca="false">IF(Scans!G18="","",Scans!G18)</f>
        <v/>
      </c>
    </row>
    <row r="19" customFormat="false" ht="15" hidden="false" customHeight="true" outlineLevel="0" collapsed="false">
      <c r="A19" s="7" t="str">
        <f aca="false">Scans!A19</f>
        <v>SC-2017</v>
      </c>
      <c r="B19" s="9" t="n">
        <f aca="false">Scans!E19</f>
        <v>46194</v>
      </c>
      <c r="C19" s="7" t="str">
        <f aca="false">INDEX(ScanTypes!$B$2:$B$6,MATCH(Scans!C19,ScanTypes!$A$2:$A$6,0))</f>
        <v>Prostate Scan</v>
      </c>
      <c r="D19" s="7" t="str">
        <f aca="false">INDEX(Physicians!$B$2:$B$6,MATCH(Scans!D19,Physicians!$A$2:$A$6,0))</f>
        <v>Dr. Molefe</v>
      </c>
      <c r="E19" s="7" t="str">
        <f aca="false">INDEX(Patients!$B$2:$B$31,MATCH(Scans!B19,Patients!$A$2:$A$31,0))</f>
        <v>76+</v>
      </c>
      <c r="F19" s="7" t="str">
        <f aca="false">INDEX(Patients!$C$2:$C$31,MATCH(Scans!B19,Patients!$A$2:$A$31,0))</f>
        <v>F</v>
      </c>
      <c r="G19" s="7" t="str">
        <f aca="false">Scans!F19</f>
        <v>Completed</v>
      </c>
      <c r="H19" s="7" t="n">
        <f aca="false">IF(Scans!G19="","",Scans!G19)</f>
        <v>1</v>
      </c>
    </row>
    <row r="20" customFormat="false" ht="15" hidden="false" customHeight="true" outlineLevel="0" collapsed="false">
      <c r="A20" s="6" t="str">
        <f aca="false">Scans!A20</f>
        <v>SC-2018</v>
      </c>
      <c r="B20" s="8" t="n">
        <f aca="false">Scans!E20</f>
        <v>46128</v>
      </c>
      <c r="C20" s="6" t="str">
        <f aca="false">INDEX(ScanTypes!$B$2:$B$6,MATCH(Scans!C20,ScanTypes!$A$2:$A$6,0))</f>
        <v>Prostate Scan</v>
      </c>
      <c r="D20" s="6" t="str">
        <f aca="false">INDEX(Physicians!$B$2:$B$6,MATCH(Scans!D20,Physicians!$A$2:$A$6,0))</f>
        <v>Dr. Pretorius</v>
      </c>
      <c r="E20" s="6" t="str">
        <f aca="false">INDEX(Patients!$B$2:$B$31,MATCH(Scans!B20,Patients!$A$2:$A$31,0))</f>
        <v>46-60</v>
      </c>
      <c r="F20" s="6" t="str">
        <f aca="false">INDEX(Patients!$C$2:$C$31,MATCH(Scans!B20,Patients!$A$2:$A$31,0))</f>
        <v>M</v>
      </c>
      <c r="G20" s="6" t="str">
        <f aca="false">Scans!F20</f>
        <v>Completed</v>
      </c>
      <c r="H20" s="6" t="n">
        <f aca="false">IF(Scans!G20="","",Scans!G20)</f>
        <v>1</v>
      </c>
    </row>
    <row r="21" customFormat="false" ht="15" hidden="false" customHeight="true" outlineLevel="0" collapsed="false">
      <c r="A21" s="7" t="str">
        <f aca="false">Scans!A21</f>
        <v>SC-2019</v>
      </c>
      <c r="B21" s="9" t="n">
        <f aca="false">Scans!E21</f>
        <v>46075</v>
      </c>
      <c r="C21" s="7" t="str">
        <f aca="false">INDEX(ScanTypes!$B$2:$B$6,MATCH(Scans!C21,ScanTypes!$A$2:$A$6,0))</f>
        <v>Thyroid Scan</v>
      </c>
      <c r="D21" s="7" t="str">
        <f aca="false">INDEX(Physicians!$B$2:$B$6,MATCH(Scans!D21,Physicians!$A$2:$A$6,0))</f>
        <v>Dr. Nkosi</v>
      </c>
      <c r="E21" s="7" t="str">
        <f aca="false">INDEX(Patients!$B$2:$B$31,MATCH(Scans!B21,Patients!$A$2:$A$31,0))</f>
        <v>31-45</v>
      </c>
      <c r="F21" s="7" t="str">
        <f aca="false">INDEX(Patients!$C$2:$C$31,MATCH(Scans!B21,Patients!$A$2:$A$31,0))</f>
        <v>F</v>
      </c>
      <c r="G21" s="7" t="str">
        <f aca="false">Scans!F21</f>
        <v>Completed</v>
      </c>
      <c r="H21" s="7" t="n">
        <f aca="false">IF(Scans!G21="","",Scans!G21)</f>
        <v>2</v>
      </c>
    </row>
    <row r="22" customFormat="false" ht="15" hidden="false" customHeight="true" outlineLevel="0" collapsed="false">
      <c r="A22" s="6" t="str">
        <f aca="false">Scans!A22</f>
        <v>SC-2020</v>
      </c>
      <c r="B22" s="8" t="n">
        <f aca="false">Scans!E22</f>
        <v>46114</v>
      </c>
      <c r="C22" s="6" t="str">
        <f aca="false">INDEX(ScanTypes!$B$2:$B$6,MATCH(Scans!C22,ScanTypes!$A$2:$A$6,0))</f>
        <v>Lung Perfusion Scan</v>
      </c>
      <c r="D22" s="6" t="str">
        <f aca="false">INDEX(Physicians!$B$2:$B$6,MATCH(Scans!D22,Physicians!$A$2:$A$6,0))</f>
        <v>Dr. Nkosi</v>
      </c>
      <c r="E22" s="6" t="str">
        <f aca="false">INDEX(Patients!$B$2:$B$31,MATCH(Scans!B22,Patients!$A$2:$A$31,0))</f>
        <v>46-60</v>
      </c>
      <c r="F22" s="6" t="str">
        <f aca="false">INDEX(Patients!$C$2:$C$31,MATCH(Scans!B22,Patients!$A$2:$A$31,0))</f>
        <v>M</v>
      </c>
      <c r="G22" s="6" t="str">
        <f aca="false">Scans!F22</f>
        <v>Completed</v>
      </c>
      <c r="H22" s="6" t="n">
        <f aca="false">IF(Scans!G22="","",Scans!G22)</f>
        <v>1</v>
      </c>
    </row>
    <row r="23" customFormat="false" ht="15" hidden="false" customHeight="true" outlineLevel="0" collapsed="false">
      <c r="A23" s="7" t="str">
        <f aca="false">Scans!A23</f>
        <v>SC-2021</v>
      </c>
      <c r="B23" s="9" t="n">
        <f aca="false">Scans!E23</f>
        <v>46164</v>
      </c>
      <c r="C23" s="7" t="str">
        <f aca="false">INDEX(ScanTypes!$B$2:$B$6,MATCH(Scans!C23,ScanTypes!$A$2:$A$6,0))</f>
        <v>Prostate Scan</v>
      </c>
      <c r="D23" s="7" t="str">
        <f aca="false">INDEX(Physicians!$B$2:$B$6,MATCH(Scans!D23,Physicians!$A$2:$A$6,0))</f>
        <v>Dr. van Wyk</v>
      </c>
      <c r="E23" s="7" t="str">
        <f aca="false">INDEX(Patients!$B$2:$B$31,MATCH(Scans!B23,Patients!$A$2:$A$31,0))</f>
        <v>46-60</v>
      </c>
      <c r="F23" s="7" t="str">
        <f aca="false">INDEX(Patients!$C$2:$C$31,MATCH(Scans!B23,Patients!$A$2:$A$31,0))</f>
        <v>F</v>
      </c>
      <c r="G23" s="7" t="str">
        <f aca="false">Scans!F23</f>
        <v>Completed</v>
      </c>
      <c r="H23" s="7" t="n">
        <f aca="false">IF(Scans!G23="","",Scans!G23)</f>
        <v>3</v>
      </c>
    </row>
    <row r="24" customFormat="false" ht="15" hidden="false" customHeight="true" outlineLevel="0" collapsed="false">
      <c r="A24" s="6" t="str">
        <f aca="false">Scans!A24</f>
        <v>SC-2022</v>
      </c>
      <c r="B24" s="8" t="n">
        <f aca="false">Scans!E24</f>
        <v>46250</v>
      </c>
      <c r="C24" s="6" t="str">
        <f aca="false">INDEX(ScanTypes!$B$2:$B$6,MATCH(Scans!C24,ScanTypes!$A$2:$A$6,0))</f>
        <v>Bone Scan</v>
      </c>
      <c r="D24" s="6" t="str">
        <f aca="false">INDEX(Physicians!$B$2:$B$6,MATCH(Scans!D24,Physicians!$A$2:$A$6,0))</f>
        <v>Dr. Nkosi</v>
      </c>
      <c r="E24" s="6" t="str">
        <f aca="false">INDEX(Patients!$B$2:$B$31,MATCH(Scans!B24,Patients!$A$2:$A$31,0))</f>
        <v>46-60</v>
      </c>
      <c r="F24" s="6" t="str">
        <f aca="false">INDEX(Patients!$C$2:$C$31,MATCH(Scans!B24,Patients!$A$2:$A$31,0))</f>
        <v>F</v>
      </c>
      <c r="G24" s="6" t="str">
        <f aca="false">Scans!F24</f>
        <v>Completed</v>
      </c>
      <c r="H24" s="6" t="n">
        <f aca="false">IF(Scans!G24="","",Scans!G24)</f>
        <v>4</v>
      </c>
    </row>
    <row r="25" customFormat="false" ht="15" hidden="false" customHeight="true" outlineLevel="0" collapsed="false">
      <c r="A25" s="7" t="str">
        <f aca="false">Scans!A25</f>
        <v>SC-2023</v>
      </c>
      <c r="B25" s="9" t="n">
        <f aca="false">Scans!E25</f>
        <v>46181</v>
      </c>
      <c r="C25" s="7" t="str">
        <f aca="false">INDEX(ScanTypes!$B$2:$B$6,MATCH(Scans!C25,ScanTypes!$A$2:$A$6,0))</f>
        <v>Myocardial Perfusion Study</v>
      </c>
      <c r="D25" s="7" t="str">
        <f aca="false">INDEX(Physicians!$B$2:$B$6,MATCH(Scans!D25,Physicians!$A$2:$A$6,0))</f>
        <v>Dr. Dlamini</v>
      </c>
      <c r="E25" s="7" t="str">
        <f aca="false">INDEX(Patients!$B$2:$B$31,MATCH(Scans!B25,Patients!$A$2:$A$31,0))</f>
        <v>76+</v>
      </c>
      <c r="F25" s="7" t="str">
        <f aca="false">INDEX(Patients!$C$2:$C$31,MATCH(Scans!B25,Patients!$A$2:$A$31,0))</f>
        <v>F</v>
      </c>
      <c r="G25" s="7" t="str">
        <f aca="false">Scans!F25</f>
        <v>Completed</v>
      </c>
      <c r="H25" s="7" t="n">
        <f aca="false">IF(Scans!G25="","",Scans!G25)</f>
        <v>1</v>
      </c>
    </row>
    <row r="26" customFormat="false" ht="15" hidden="false" customHeight="true" outlineLevel="0" collapsed="false">
      <c r="A26" s="6" t="str">
        <f aca="false">Scans!A26</f>
        <v>SC-2024</v>
      </c>
      <c r="B26" s="8" t="n">
        <f aca="false">Scans!E26</f>
        <v>46149</v>
      </c>
      <c r="C26" s="6" t="str">
        <f aca="false">INDEX(ScanTypes!$B$2:$B$6,MATCH(Scans!C26,ScanTypes!$A$2:$A$6,0))</f>
        <v>Thyroid Scan</v>
      </c>
      <c r="D26" s="6" t="str">
        <f aca="false">INDEX(Physicians!$B$2:$B$6,MATCH(Scans!D26,Physicians!$A$2:$A$6,0))</f>
        <v>Dr. Pretorius</v>
      </c>
      <c r="E26" s="6" t="str">
        <f aca="false">INDEX(Patients!$B$2:$B$31,MATCH(Scans!B26,Patients!$A$2:$A$31,0))</f>
        <v>46-60</v>
      </c>
      <c r="F26" s="6" t="str">
        <f aca="false">INDEX(Patients!$C$2:$C$31,MATCH(Scans!B26,Patients!$A$2:$A$31,0))</f>
        <v>F</v>
      </c>
      <c r="G26" s="6" t="str">
        <f aca="false">Scans!F26</f>
        <v>Completed</v>
      </c>
      <c r="H26" s="6" t="n">
        <f aca="false">IF(Scans!G26="","",Scans!G26)</f>
        <v>1</v>
      </c>
    </row>
    <row r="27" customFormat="false" ht="15" hidden="false" customHeight="true" outlineLevel="0" collapsed="false">
      <c r="A27" s="7" t="str">
        <f aca="false">Scans!A27</f>
        <v>SC-2025</v>
      </c>
      <c r="B27" s="9" t="n">
        <f aca="false">Scans!E27</f>
        <v>46216</v>
      </c>
      <c r="C27" s="7" t="str">
        <f aca="false">INDEX(ScanTypes!$B$2:$B$6,MATCH(Scans!C27,ScanTypes!$A$2:$A$6,0))</f>
        <v>Bone Scan</v>
      </c>
      <c r="D27" s="7" t="str">
        <f aca="false">INDEX(Physicians!$B$2:$B$6,MATCH(Scans!D27,Physicians!$A$2:$A$6,0))</f>
        <v>Dr. Dlamini</v>
      </c>
      <c r="E27" s="7" t="str">
        <f aca="false">INDEX(Patients!$B$2:$B$31,MATCH(Scans!B27,Patients!$A$2:$A$31,0))</f>
        <v>76+</v>
      </c>
      <c r="F27" s="7" t="str">
        <f aca="false">INDEX(Patients!$C$2:$C$31,MATCH(Scans!B27,Patients!$A$2:$A$31,0))</f>
        <v>F</v>
      </c>
      <c r="G27" s="7" t="str">
        <f aca="false">Scans!F27</f>
        <v>Completed</v>
      </c>
      <c r="H27" s="7" t="n">
        <f aca="false">IF(Scans!G27="","",Scans!G27)</f>
        <v>7</v>
      </c>
    </row>
    <row r="28" customFormat="false" ht="15" hidden="false" customHeight="true" outlineLevel="0" collapsed="false">
      <c r="A28" s="6" t="str">
        <f aca="false">Scans!A28</f>
        <v>SC-2026</v>
      </c>
      <c r="B28" s="8" t="n">
        <f aca="false">Scans!E28</f>
        <v>46032</v>
      </c>
      <c r="C28" s="6" t="str">
        <f aca="false">INDEX(ScanTypes!$B$2:$B$6,MATCH(Scans!C28,ScanTypes!$A$2:$A$6,0))</f>
        <v>Lung Perfusion Scan</v>
      </c>
      <c r="D28" s="6" t="str">
        <f aca="false">INDEX(Physicians!$B$2:$B$6,MATCH(Scans!D28,Physicians!$A$2:$A$6,0))</f>
        <v>Dr. Molefe</v>
      </c>
      <c r="E28" s="6" t="str">
        <f aca="false">INDEX(Patients!$B$2:$B$31,MATCH(Scans!B28,Patients!$A$2:$A$31,0))</f>
        <v>76+</v>
      </c>
      <c r="F28" s="6" t="str">
        <f aca="false">INDEX(Patients!$C$2:$C$31,MATCH(Scans!B28,Patients!$A$2:$A$31,0))</f>
        <v>F</v>
      </c>
      <c r="G28" s="6" t="str">
        <f aca="false">Scans!F28</f>
        <v>Completed</v>
      </c>
      <c r="H28" s="6" t="n">
        <f aca="false">IF(Scans!G28="","",Scans!G28)</f>
        <v>5</v>
      </c>
    </row>
    <row r="29" customFormat="false" ht="15" hidden="false" customHeight="true" outlineLevel="0" collapsed="false">
      <c r="A29" s="7" t="str">
        <f aca="false">Scans!A29</f>
        <v>SC-2027</v>
      </c>
      <c r="B29" s="9" t="n">
        <f aca="false">Scans!E29</f>
        <v>46261</v>
      </c>
      <c r="C29" s="7" t="str">
        <f aca="false">INDEX(ScanTypes!$B$2:$B$6,MATCH(Scans!C29,ScanTypes!$A$2:$A$6,0))</f>
        <v>Lung Perfusion Scan</v>
      </c>
      <c r="D29" s="7" t="str">
        <f aca="false">INDEX(Physicians!$B$2:$B$6,MATCH(Scans!D29,Physicians!$A$2:$A$6,0))</f>
        <v>Dr. Molefe</v>
      </c>
      <c r="E29" s="7" t="str">
        <f aca="false">INDEX(Patients!$B$2:$B$31,MATCH(Scans!B29,Patients!$A$2:$A$31,0))</f>
        <v>76+</v>
      </c>
      <c r="F29" s="7" t="str">
        <f aca="false">INDEX(Patients!$C$2:$C$31,MATCH(Scans!B29,Patients!$A$2:$A$31,0))</f>
        <v>M</v>
      </c>
      <c r="G29" s="7" t="str">
        <f aca="false">Scans!F29</f>
        <v>Completed</v>
      </c>
      <c r="H29" s="7" t="n">
        <f aca="false">IF(Scans!G29="","",Scans!G29)</f>
        <v>5</v>
      </c>
    </row>
    <row r="30" customFormat="false" ht="15" hidden="false" customHeight="true" outlineLevel="0" collapsed="false">
      <c r="A30" s="6" t="str">
        <f aca="false">Scans!A30</f>
        <v>SC-2028</v>
      </c>
      <c r="B30" s="8" t="n">
        <f aca="false">Scans!E30</f>
        <v>46159</v>
      </c>
      <c r="C30" s="6" t="str">
        <f aca="false">INDEX(ScanTypes!$B$2:$B$6,MATCH(Scans!C30,ScanTypes!$A$2:$A$6,0))</f>
        <v>Bone Scan</v>
      </c>
      <c r="D30" s="6" t="str">
        <f aca="false">INDEX(Physicians!$B$2:$B$6,MATCH(Scans!D30,Physicians!$A$2:$A$6,0))</f>
        <v>Dr. Dlamini</v>
      </c>
      <c r="E30" s="6" t="str">
        <f aca="false">INDEX(Patients!$B$2:$B$31,MATCH(Scans!B30,Patients!$A$2:$A$31,0))</f>
        <v>18-30</v>
      </c>
      <c r="F30" s="6" t="str">
        <f aca="false">INDEX(Patients!$C$2:$C$31,MATCH(Scans!B30,Patients!$A$2:$A$31,0))</f>
        <v>F</v>
      </c>
      <c r="G30" s="6" t="str">
        <f aca="false">Scans!F30</f>
        <v>Completed</v>
      </c>
      <c r="H30" s="6" t="n">
        <f aca="false">IF(Scans!G30="","",Scans!G30)</f>
        <v>2</v>
      </c>
    </row>
    <row r="31" customFormat="false" ht="15" hidden="false" customHeight="true" outlineLevel="0" collapsed="false">
      <c r="A31" s="7" t="str">
        <f aca="false">Scans!A31</f>
        <v>SC-2029</v>
      </c>
      <c r="B31" s="9" t="n">
        <f aca="false">Scans!E31</f>
        <v>46165</v>
      </c>
      <c r="C31" s="7" t="str">
        <f aca="false">INDEX(ScanTypes!$B$2:$B$6,MATCH(Scans!C31,ScanTypes!$A$2:$A$6,0))</f>
        <v>Lung Perfusion Scan</v>
      </c>
      <c r="D31" s="7" t="str">
        <f aca="false">INDEX(Physicians!$B$2:$B$6,MATCH(Scans!D31,Physicians!$A$2:$A$6,0))</f>
        <v>Dr. Molefe</v>
      </c>
      <c r="E31" s="7" t="str">
        <f aca="false">INDEX(Patients!$B$2:$B$31,MATCH(Scans!B31,Patients!$A$2:$A$31,0))</f>
        <v>76+</v>
      </c>
      <c r="F31" s="7" t="str">
        <f aca="false">INDEX(Patients!$C$2:$C$31,MATCH(Scans!B31,Patients!$A$2:$A$31,0))</f>
        <v>M</v>
      </c>
      <c r="G31" s="7" t="str">
        <f aca="false">Scans!F31</f>
        <v>Pending</v>
      </c>
      <c r="H31" s="7" t="str">
        <f aca="false">IF(Scans!G31="","",Scans!G31)</f>
        <v/>
      </c>
    </row>
    <row r="32" customFormat="false" ht="15" hidden="false" customHeight="true" outlineLevel="0" collapsed="false">
      <c r="A32" s="6" t="str">
        <f aca="false">Scans!A32</f>
        <v>SC-2030</v>
      </c>
      <c r="B32" s="8" t="n">
        <f aca="false">Scans!E32</f>
        <v>46234</v>
      </c>
      <c r="C32" s="6" t="str">
        <f aca="false">INDEX(ScanTypes!$B$2:$B$6,MATCH(Scans!C32,ScanTypes!$A$2:$A$6,0))</f>
        <v>Lung Perfusion Scan</v>
      </c>
      <c r="D32" s="6" t="str">
        <f aca="false">INDEX(Physicians!$B$2:$B$6,MATCH(Scans!D32,Physicians!$A$2:$A$6,0))</f>
        <v>Dr. Molefe</v>
      </c>
      <c r="E32" s="6" t="str">
        <f aca="false">INDEX(Patients!$B$2:$B$31,MATCH(Scans!B32,Patients!$A$2:$A$31,0))</f>
        <v>31-45</v>
      </c>
      <c r="F32" s="6" t="str">
        <f aca="false">INDEX(Patients!$C$2:$C$31,MATCH(Scans!B32,Patients!$A$2:$A$31,0))</f>
        <v>F</v>
      </c>
      <c r="G32" s="6" t="str">
        <f aca="false">Scans!F32</f>
        <v>Pending</v>
      </c>
      <c r="H32" s="6" t="str">
        <f aca="false">IF(Scans!G32="","",Scans!G32)</f>
        <v/>
      </c>
    </row>
    <row r="33" customFormat="false" ht="15" hidden="false" customHeight="true" outlineLevel="0" collapsed="false">
      <c r="A33" s="7" t="str">
        <f aca="false">Scans!A33</f>
        <v>SC-2031</v>
      </c>
      <c r="B33" s="9" t="n">
        <f aca="false">Scans!E33</f>
        <v>46236</v>
      </c>
      <c r="C33" s="7" t="str">
        <f aca="false">INDEX(ScanTypes!$B$2:$B$6,MATCH(Scans!C33,ScanTypes!$A$2:$A$6,0))</f>
        <v>Lung Perfusion Scan</v>
      </c>
      <c r="D33" s="7" t="str">
        <f aca="false">INDEX(Physicians!$B$2:$B$6,MATCH(Scans!D33,Physicians!$A$2:$A$6,0))</f>
        <v>Dr. van Wyk</v>
      </c>
      <c r="E33" s="7" t="str">
        <f aca="false">INDEX(Patients!$B$2:$B$31,MATCH(Scans!B33,Patients!$A$2:$A$31,0))</f>
        <v>46-60</v>
      </c>
      <c r="F33" s="7" t="str">
        <f aca="false">INDEX(Patients!$C$2:$C$31,MATCH(Scans!B33,Patients!$A$2:$A$31,0))</f>
        <v>M</v>
      </c>
      <c r="G33" s="7" t="str">
        <f aca="false">Scans!F33</f>
        <v>Completed</v>
      </c>
      <c r="H33" s="7" t="n">
        <f aca="false">IF(Scans!G33="","",Scans!G33)</f>
        <v>7</v>
      </c>
    </row>
    <row r="34" customFormat="false" ht="15" hidden="false" customHeight="true" outlineLevel="0" collapsed="false">
      <c r="A34" s="6" t="str">
        <f aca="false">Scans!A34</f>
        <v>SC-2032</v>
      </c>
      <c r="B34" s="8" t="n">
        <f aca="false">Scans!E34</f>
        <v>46153</v>
      </c>
      <c r="C34" s="6" t="str">
        <f aca="false">INDEX(ScanTypes!$B$2:$B$6,MATCH(Scans!C34,ScanTypes!$A$2:$A$6,0))</f>
        <v>Lung Perfusion Scan</v>
      </c>
      <c r="D34" s="6" t="str">
        <f aca="false">INDEX(Physicians!$B$2:$B$6,MATCH(Scans!D34,Physicians!$A$2:$A$6,0))</f>
        <v>Dr. Molefe</v>
      </c>
      <c r="E34" s="6" t="str">
        <f aca="false">INDEX(Patients!$B$2:$B$31,MATCH(Scans!B34,Patients!$A$2:$A$31,0))</f>
        <v>18-30</v>
      </c>
      <c r="F34" s="6" t="str">
        <f aca="false">INDEX(Patients!$C$2:$C$31,MATCH(Scans!B34,Patients!$A$2:$A$31,0))</f>
        <v>F</v>
      </c>
      <c r="G34" s="6" t="str">
        <f aca="false">Scans!F34</f>
        <v>Completed</v>
      </c>
      <c r="H34" s="6" t="n">
        <f aca="false">IF(Scans!G34="","",Scans!G34)</f>
        <v>1</v>
      </c>
    </row>
    <row r="35" customFormat="false" ht="15" hidden="false" customHeight="true" outlineLevel="0" collapsed="false">
      <c r="A35" s="7" t="str">
        <f aca="false">Scans!A35</f>
        <v>SC-2033</v>
      </c>
      <c r="B35" s="9" t="n">
        <f aca="false">Scans!E35</f>
        <v>46093</v>
      </c>
      <c r="C35" s="7" t="str">
        <f aca="false">INDEX(ScanTypes!$B$2:$B$6,MATCH(Scans!C35,ScanTypes!$A$2:$A$6,0))</f>
        <v>Myocardial Perfusion Study</v>
      </c>
      <c r="D35" s="7" t="str">
        <f aca="false">INDEX(Physicians!$B$2:$B$6,MATCH(Scans!D35,Physicians!$A$2:$A$6,0))</f>
        <v>Dr. Pretorius</v>
      </c>
      <c r="E35" s="7" t="str">
        <f aca="false">INDEX(Patients!$B$2:$B$31,MATCH(Scans!B35,Patients!$A$2:$A$31,0))</f>
        <v>46-60</v>
      </c>
      <c r="F35" s="7" t="str">
        <f aca="false">INDEX(Patients!$C$2:$C$31,MATCH(Scans!B35,Patients!$A$2:$A$31,0))</f>
        <v>F</v>
      </c>
      <c r="G35" s="7" t="str">
        <f aca="false">Scans!F35</f>
        <v>Completed</v>
      </c>
      <c r="H35" s="7" t="n">
        <f aca="false">IF(Scans!G35="","",Scans!G35)</f>
        <v>5</v>
      </c>
    </row>
    <row r="36" customFormat="false" ht="15" hidden="false" customHeight="true" outlineLevel="0" collapsed="false">
      <c r="A36" s="6" t="str">
        <f aca="false">Scans!A36</f>
        <v>SC-2034</v>
      </c>
      <c r="B36" s="8" t="n">
        <f aca="false">Scans!E36</f>
        <v>46271</v>
      </c>
      <c r="C36" s="6" t="str">
        <f aca="false">INDEX(ScanTypes!$B$2:$B$6,MATCH(Scans!C36,ScanTypes!$A$2:$A$6,0))</f>
        <v>Thyroid Scan</v>
      </c>
      <c r="D36" s="6" t="str">
        <f aca="false">INDEX(Physicians!$B$2:$B$6,MATCH(Scans!D36,Physicians!$A$2:$A$6,0))</f>
        <v>Dr. Dlamini</v>
      </c>
      <c r="E36" s="6" t="str">
        <f aca="false">INDEX(Patients!$B$2:$B$31,MATCH(Scans!B36,Patients!$A$2:$A$31,0))</f>
        <v>76+</v>
      </c>
      <c r="F36" s="6" t="str">
        <f aca="false">INDEX(Patients!$C$2:$C$31,MATCH(Scans!B36,Patients!$A$2:$A$31,0))</f>
        <v>M</v>
      </c>
      <c r="G36" s="6" t="str">
        <f aca="false">Scans!F36</f>
        <v>Cancelled</v>
      </c>
      <c r="H36" s="6" t="str">
        <f aca="false">IF(Scans!G36="","",Scans!G36)</f>
        <v/>
      </c>
    </row>
    <row r="37" customFormat="false" ht="15" hidden="false" customHeight="true" outlineLevel="0" collapsed="false">
      <c r="A37" s="7" t="str">
        <f aca="false">Scans!A37</f>
        <v>SC-2035</v>
      </c>
      <c r="B37" s="9" t="n">
        <f aca="false">Scans!E37</f>
        <v>46085</v>
      </c>
      <c r="C37" s="7" t="str">
        <f aca="false">INDEX(ScanTypes!$B$2:$B$6,MATCH(Scans!C37,ScanTypes!$A$2:$A$6,0))</f>
        <v>Lung Perfusion Scan</v>
      </c>
      <c r="D37" s="7" t="str">
        <f aca="false">INDEX(Physicians!$B$2:$B$6,MATCH(Scans!D37,Physicians!$A$2:$A$6,0))</f>
        <v>Dr. Nkosi</v>
      </c>
      <c r="E37" s="7" t="str">
        <f aca="false">INDEX(Patients!$B$2:$B$31,MATCH(Scans!B37,Patients!$A$2:$A$31,0))</f>
        <v>18-30</v>
      </c>
      <c r="F37" s="7" t="str">
        <f aca="false">INDEX(Patients!$C$2:$C$31,MATCH(Scans!B37,Patients!$A$2:$A$31,0))</f>
        <v>F</v>
      </c>
      <c r="G37" s="7" t="str">
        <f aca="false">Scans!F37</f>
        <v>Completed</v>
      </c>
      <c r="H37" s="7" t="n">
        <f aca="false">IF(Scans!G37="","",Scans!G37)</f>
        <v>3</v>
      </c>
    </row>
    <row r="38" customFormat="false" ht="15" hidden="false" customHeight="true" outlineLevel="0" collapsed="false">
      <c r="A38" s="6" t="str">
        <f aca="false">Scans!A38</f>
        <v>SC-2036</v>
      </c>
      <c r="B38" s="8" t="n">
        <f aca="false">Scans!E38</f>
        <v>46257</v>
      </c>
      <c r="C38" s="6" t="str">
        <f aca="false">INDEX(ScanTypes!$B$2:$B$6,MATCH(Scans!C38,ScanTypes!$A$2:$A$6,0))</f>
        <v>Thyroid Scan</v>
      </c>
      <c r="D38" s="6" t="str">
        <f aca="false">INDEX(Physicians!$B$2:$B$6,MATCH(Scans!D38,Physicians!$A$2:$A$6,0))</f>
        <v>Dr. Molefe</v>
      </c>
      <c r="E38" s="6" t="str">
        <f aca="false">INDEX(Patients!$B$2:$B$31,MATCH(Scans!B38,Patients!$A$2:$A$31,0))</f>
        <v>61-75</v>
      </c>
      <c r="F38" s="6" t="str">
        <f aca="false">INDEX(Patients!$C$2:$C$31,MATCH(Scans!B38,Patients!$A$2:$A$31,0))</f>
        <v>M</v>
      </c>
      <c r="G38" s="6" t="str">
        <f aca="false">Scans!F38</f>
        <v>Completed</v>
      </c>
      <c r="H38" s="6" t="n">
        <f aca="false">IF(Scans!G38="","",Scans!G38)</f>
        <v>1</v>
      </c>
    </row>
    <row r="39" customFormat="false" ht="15" hidden="false" customHeight="true" outlineLevel="0" collapsed="false">
      <c r="A39" s="7" t="str">
        <f aca="false">Scans!A39</f>
        <v>SC-2037</v>
      </c>
      <c r="B39" s="9" t="n">
        <f aca="false">Scans!E39</f>
        <v>46240</v>
      </c>
      <c r="C39" s="7" t="str">
        <f aca="false">INDEX(ScanTypes!$B$2:$B$6,MATCH(Scans!C39,ScanTypes!$A$2:$A$6,0))</f>
        <v>Myocardial Perfusion Study</v>
      </c>
      <c r="D39" s="7" t="str">
        <f aca="false">INDEX(Physicians!$B$2:$B$6,MATCH(Scans!D39,Physicians!$A$2:$A$6,0))</f>
        <v>Dr. Nkosi</v>
      </c>
      <c r="E39" s="7" t="str">
        <f aca="false">INDEX(Patients!$B$2:$B$31,MATCH(Scans!B39,Patients!$A$2:$A$31,0))</f>
        <v>31-45</v>
      </c>
      <c r="F39" s="7" t="str">
        <f aca="false">INDEX(Patients!$C$2:$C$31,MATCH(Scans!B39,Patients!$A$2:$A$31,0))</f>
        <v>F</v>
      </c>
      <c r="G39" s="7" t="str">
        <f aca="false">Scans!F39</f>
        <v>Completed</v>
      </c>
      <c r="H39" s="7" t="n">
        <f aca="false">IF(Scans!G39="","",Scans!G39)</f>
        <v>4</v>
      </c>
    </row>
    <row r="40" customFormat="false" ht="15" hidden="false" customHeight="true" outlineLevel="0" collapsed="false">
      <c r="A40" s="6" t="str">
        <f aca="false">Scans!A40</f>
        <v>SC-2038</v>
      </c>
      <c r="B40" s="8" t="n">
        <f aca="false">Scans!E40</f>
        <v>46254</v>
      </c>
      <c r="C40" s="6" t="str">
        <f aca="false">INDEX(ScanTypes!$B$2:$B$6,MATCH(Scans!C40,ScanTypes!$A$2:$A$6,0))</f>
        <v>Lung Perfusion Scan</v>
      </c>
      <c r="D40" s="6" t="str">
        <f aca="false">INDEX(Physicians!$B$2:$B$6,MATCH(Scans!D40,Physicians!$A$2:$A$6,0))</f>
        <v>Dr. Pretorius</v>
      </c>
      <c r="E40" s="6" t="str">
        <f aca="false">INDEX(Patients!$B$2:$B$31,MATCH(Scans!B40,Patients!$A$2:$A$31,0))</f>
        <v>76+</v>
      </c>
      <c r="F40" s="6" t="str">
        <f aca="false">INDEX(Patients!$C$2:$C$31,MATCH(Scans!B40,Patients!$A$2:$A$31,0))</f>
        <v>M</v>
      </c>
      <c r="G40" s="6" t="str">
        <f aca="false">Scans!F40</f>
        <v>Completed</v>
      </c>
      <c r="H40" s="6" t="n">
        <f aca="false">IF(Scans!G40="","",Scans!G40)</f>
        <v>7</v>
      </c>
    </row>
    <row r="41" customFormat="false" ht="15" hidden="false" customHeight="true" outlineLevel="0" collapsed="false">
      <c r="A41" s="7" t="str">
        <f aca="false">Scans!A41</f>
        <v>SC-2039</v>
      </c>
      <c r="B41" s="9" t="n">
        <f aca="false">Scans!E41</f>
        <v>46232</v>
      </c>
      <c r="C41" s="7" t="str">
        <f aca="false">INDEX(ScanTypes!$B$2:$B$6,MATCH(Scans!C41,ScanTypes!$A$2:$A$6,0))</f>
        <v>Myocardial Perfusion Study</v>
      </c>
      <c r="D41" s="7" t="str">
        <f aca="false">INDEX(Physicians!$B$2:$B$6,MATCH(Scans!D41,Physicians!$A$2:$A$6,0))</f>
        <v>Dr. Nkosi</v>
      </c>
      <c r="E41" s="7" t="str">
        <f aca="false">INDEX(Patients!$B$2:$B$31,MATCH(Scans!B41,Patients!$A$2:$A$31,0))</f>
        <v>76+</v>
      </c>
      <c r="F41" s="7" t="str">
        <f aca="false">INDEX(Patients!$C$2:$C$31,MATCH(Scans!B41,Patients!$A$2:$A$31,0))</f>
        <v>F</v>
      </c>
      <c r="G41" s="7" t="str">
        <f aca="false">Scans!F41</f>
        <v>Cancelled</v>
      </c>
      <c r="H41" s="7" t="str">
        <f aca="false">IF(Scans!G41="","",Scans!G41)</f>
        <v/>
      </c>
    </row>
    <row r="42" customFormat="false" ht="15" hidden="false" customHeight="true" outlineLevel="0" collapsed="false">
      <c r="A42" s="6" t="str">
        <f aca="false">Scans!A42</f>
        <v>SC-2040</v>
      </c>
      <c r="B42" s="8" t="n">
        <f aca="false">Scans!E42</f>
        <v>46129</v>
      </c>
      <c r="C42" s="6" t="str">
        <f aca="false">INDEX(ScanTypes!$B$2:$B$6,MATCH(Scans!C42,ScanTypes!$A$2:$A$6,0))</f>
        <v>Thyroid Scan</v>
      </c>
      <c r="D42" s="6" t="str">
        <f aca="false">INDEX(Physicians!$B$2:$B$6,MATCH(Scans!D42,Physicians!$A$2:$A$6,0))</f>
        <v>Dr. Pretorius</v>
      </c>
      <c r="E42" s="6" t="str">
        <f aca="false">INDEX(Patients!$B$2:$B$31,MATCH(Scans!B42,Patients!$A$2:$A$31,0))</f>
        <v>61-75</v>
      </c>
      <c r="F42" s="6" t="str">
        <f aca="false">INDEX(Patients!$C$2:$C$31,MATCH(Scans!B42,Patients!$A$2:$A$31,0))</f>
        <v>M</v>
      </c>
      <c r="G42" s="6" t="str">
        <f aca="false">Scans!F42</f>
        <v>Completed</v>
      </c>
      <c r="H42" s="6" t="n">
        <f aca="false">IF(Scans!G42="","",Scans!G42)</f>
        <v>1</v>
      </c>
    </row>
    <row r="43" customFormat="false" ht="15" hidden="false" customHeight="true" outlineLevel="0" collapsed="false">
      <c r="A43" s="7" t="str">
        <f aca="false">Scans!A43</f>
        <v>SC-2041</v>
      </c>
      <c r="B43" s="9" t="n">
        <f aca="false">Scans!E43</f>
        <v>46059</v>
      </c>
      <c r="C43" s="7" t="str">
        <f aca="false">INDEX(ScanTypes!$B$2:$B$6,MATCH(Scans!C43,ScanTypes!$A$2:$A$6,0))</f>
        <v>Lung Perfusion Scan</v>
      </c>
      <c r="D43" s="7" t="str">
        <f aca="false">INDEX(Physicians!$B$2:$B$6,MATCH(Scans!D43,Physicians!$A$2:$A$6,0))</f>
        <v>Dr. van Wyk</v>
      </c>
      <c r="E43" s="7" t="str">
        <f aca="false">INDEX(Patients!$B$2:$B$31,MATCH(Scans!B43,Patients!$A$2:$A$31,0))</f>
        <v>61-75</v>
      </c>
      <c r="F43" s="7" t="str">
        <f aca="false">INDEX(Patients!$C$2:$C$31,MATCH(Scans!B43,Patients!$A$2:$A$31,0))</f>
        <v>M</v>
      </c>
      <c r="G43" s="7" t="str">
        <f aca="false">Scans!F43</f>
        <v>Completed</v>
      </c>
      <c r="H43" s="7" t="n">
        <f aca="false">IF(Scans!G43="","",Scans!G43)</f>
        <v>5</v>
      </c>
    </row>
    <row r="44" customFormat="false" ht="15" hidden="false" customHeight="true" outlineLevel="0" collapsed="false">
      <c r="A44" s="6" t="str">
        <f aca="false">Scans!A44</f>
        <v>SC-2042</v>
      </c>
      <c r="B44" s="8" t="n">
        <f aca="false">Scans!E44</f>
        <v>46183</v>
      </c>
      <c r="C44" s="6" t="str">
        <f aca="false">INDEX(ScanTypes!$B$2:$B$6,MATCH(Scans!C44,ScanTypes!$A$2:$A$6,0))</f>
        <v>Thyroid Scan</v>
      </c>
      <c r="D44" s="6" t="str">
        <f aca="false">INDEX(Physicians!$B$2:$B$6,MATCH(Scans!D44,Physicians!$A$2:$A$6,0))</f>
        <v>Dr. van Wyk</v>
      </c>
      <c r="E44" s="6" t="str">
        <f aca="false">INDEX(Patients!$B$2:$B$31,MATCH(Scans!B44,Patients!$A$2:$A$31,0))</f>
        <v>31-45</v>
      </c>
      <c r="F44" s="6" t="str">
        <f aca="false">INDEX(Patients!$C$2:$C$31,MATCH(Scans!B44,Patients!$A$2:$A$31,0))</f>
        <v>F</v>
      </c>
      <c r="G44" s="6" t="str">
        <f aca="false">Scans!F44</f>
        <v>Pending</v>
      </c>
      <c r="H44" s="6" t="str">
        <f aca="false">IF(Scans!G44="","",Scans!G44)</f>
        <v/>
      </c>
    </row>
    <row r="45" customFormat="false" ht="15" hidden="false" customHeight="true" outlineLevel="0" collapsed="false">
      <c r="A45" s="7" t="str">
        <f aca="false">Scans!A45</f>
        <v>SC-2043</v>
      </c>
      <c r="B45" s="9" t="n">
        <f aca="false">Scans!E45</f>
        <v>46167</v>
      </c>
      <c r="C45" s="7" t="str">
        <f aca="false">INDEX(ScanTypes!$B$2:$B$6,MATCH(Scans!C45,ScanTypes!$A$2:$A$6,0))</f>
        <v>Myocardial Perfusion Study</v>
      </c>
      <c r="D45" s="7" t="str">
        <f aca="false">INDEX(Physicians!$B$2:$B$6,MATCH(Scans!D45,Physicians!$A$2:$A$6,0))</f>
        <v>Dr. van Wyk</v>
      </c>
      <c r="E45" s="7" t="str">
        <f aca="false">INDEX(Patients!$B$2:$B$31,MATCH(Scans!B45,Patients!$A$2:$A$31,0))</f>
        <v>31-45</v>
      </c>
      <c r="F45" s="7" t="str">
        <f aca="false">INDEX(Patients!$C$2:$C$31,MATCH(Scans!B45,Patients!$A$2:$A$31,0))</f>
        <v>F</v>
      </c>
      <c r="G45" s="7" t="str">
        <f aca="false">Scans!F45</f>
        <v>Completed</v>
      </c>
      <c r="H45" s="7" t="n">
        <f aca="false">IF(Scans!G45="","",Scans!G45)</f>
        <v>1</v>
      </c>
    </row>
    <row r="46" customFormat="false" ht="15" hidden="false" customHeight="true" outlineLevel="0" collapsed="false">
      <c r="A46" s="6" t="str">
        <f aca="false">Scans!A46</f>
        <v>SC-2044</v>
      </c>
      <c r="B46" s="8" t="n">
        <f aca="false">Scans!E46</f>
        <v>46218</v>
      </c>
      <c r="C46" s="6" t="str">
        <f aca="false">INDEX(ScanTypes!$B$2:$B$6,MATCH(Scans!C46,ScanTypes!$A$2:$A$6,0))</f>
        <v>Bone Scan</v>
      </c>
      <c r="D46" s="6" t="str">
        <f aca="false">INDEX(Physicians!$B$2:$B$6,MATCH(Scans!D46,Physicians!$A$2:$A$6,0))</f>
        <v>Dr. Molefe</v>
      </c>
      <c r="E46" s="6" t="str">
        <f aca="false">INDEX(Patients!$B$2:$B$31,MATCH(Scans!B46,Patients!$A$2:$A$31,0))</f>
        <v>46-60</v>
      </c>
      <c r="F46" s="6" t="str">
        <f aca="false">INDEX(Patients!$C$2:$C$31,MATCH(Scans!B46,Patients!$A$2:$A$31,0))</f>
        <v>F</v>
      </c>
      <c r="G46" s="6" t="str">
        <f aca="false">Scans!F46</f>
        <v>Cancelled</v>
      </c>
      <c r="H46" s="6" t="str">
        <f aca="false">IF(Scans!G46="","",Scans!G46)</f>
        <v/>
      </c>
    </row>
    <row r="47" customFormat="false" ht="15" hidden="false" customHeight="true" outlineLevel="0" collapsed="false">
      <c r="A47" s="7" t="str">
        <f aca="false">Scans!A47</f>
        <v>SC-2045</v>
      </c>
      <c r="B47" s="9" t="n">
        <f aca="false">Scans!E47</f>
        <v>46034</v>
      </c>
      <c r="C47" s="7" t="str">
        <f aca="false">INDEX(ScanTypes!$B$2:$B$6,MATCH(Scans!C47,ScanTypes!$A$2:$A$6,0))</f>
        <v>Lung Perfusion Scan</v>
      </c>
      <c r="D47" s="7" t="str">
        <f aca="false">INDEX(Physicians!$B$2:$B$6,MATCH(Scans!D47,Physicians!$A$2:$A$6,0))</f>
        <v>Dr. van Wyk</v>
      </c>
      <c r="E47" s="7" t="str">
        <f aca="false">INDEX(Patients!$B$2:$B$31,MATCH(Scans!B47,Patients!$A$2:$A$31,0))</f>
        <v>18-30</v>
      </c>
      <c r="F47" s="7" t="str">
        <f aca="false">INDEX(Patients!$C$2:$C$31,MATCH(Scans!B47,Patients!$A$2:$A$31,0))</f>
        <v>F</v>
      </c>
      <c r="G47" s="7" t="str">
        <f aca="false">Scans!F47</f>
        <v>Completed</v>
      </c>
      <c r="H47" s="7" t="n">
        <f aca="false">IF(Scans!G47="","",Scans!G47)</f>
        <v>3</v>
      </c>
    </row>
    <row r="48" customFormat="false" ht="15" hidden="false" customHeight="true" outlineLevel="0" collapsed="false">
      <c r="A48" s="6" t="str">
        <f aca="false">Scans!A48</f>
        <v>SC-2046</v>
      </c>
      <c r="B48" s="8" t="n">
        <f aca="false">Scans!E48</f>
        <v>46110</v>
      </c>
      <c r="C48" s="6" t="str">
        <f aca="false">INDEX(ScanTypes!$B$2:$B$6,MATCH(Scans!C48,ScanTypes!$A$2:$A$6,0))</f>
        <v>Lung Perfusion Scan</v>
      </c>
      <c r="D48" s="6" t="str">
        <f aca="false">INDEX(Physicians!$B$2:$B$6,MATCH(Scans!D48,Physicians!$A$2:$A$6,0))</f>
        <v>Dr. Molefe</v>
      </c>
      <c r="E48" s="6" t="str">
        <f aca="false">INDEX(Patients!$B$2:$B$31,MATCH(Scans!B48,Patients!$A$2:$A$31,0))</f>
        <v>76+</v>
      </c>
      <c r="F48" s="6" t="str">
        <f aca="false">INDEX(Patients!$C$2:$C$31,MATCH(Scans!B48,Patients!$A$2:$A$31,0))</f>
        <v>M</v>
      </c>
      <c r="G48" s="6" t="str">
        <f aca="false">Scans!F48</f>
        <v>Completed</v>
      </c>
      <c r="H48" s="6" t="n">
        <f aca="false">IF(Scans!G48="","",Scans!G48)</f>
        <v>4</v>
      </c>
    </row>
    <row r="49" customFormat="false" ht="15" hidden="false" customHeight="true" outlineLevel="0" collapsed="false">
      <c r="A49" s="7" t="str">
        <f aca="false">Scans!A49</f>
        <v>SC-2047</v>
      </c>
      <c r="B49" s="9" t="n">
        <f aca="false">Scans!E49</f>
        <v>46259</v>
      </c>
      <c r="C49" s="7" t="str">
        <f aca="false">INDEX(ScanTypes!$B$2:$B$6,MATCH(Scans!C49,ScanTypes!$A$2:$A$6,0))</f>
        <v>Lung Perfusion Scan</v>
      </c>
      <c r="D49" s="7" t="str">
        <f aca="false">INDEX(Physicians!$B$2:$B$6,MATCH(Scans!D49,Physicians!$A$2:$A$6,0))</f>
        <v>Dr. Nkosi</v>
      </c>
      <c r="E49" s="7" t="str">
        <f aca="false">INDEX(Patients!$B$2:$B$31,MATCH(Scans!B49,Patients!$A$2:$A$31,0))</f>
        <v>46-60</v>
      </c>
      <c r="F49" s="7" t="str">
        <f aca="false">INDEX(Patients!$C$2:$C$31,MATCH(Scans!B49,Patients!$A$2:$A$31,0))</f>
        <v>M</v>
      </c>
      <c r="G49" s="7" t="str">
        <f aca="false">Scans!F49</f>
        <v>Completed</v>
      </c>
      <c r="H49" s="7" t="n">
        <f aca="false">IF(Scans!G49="","",Scans!G49)</f>
        <v>4</v>
      </c>
    </row>
    <row r="50" customFormat="false" ht="15" hidden="false" customHeight="true" outlineLevel="0" collapsed="false">
      <c r="A50" s="6" t="str">
        <f aca="false">Scans!A50</f>
        <v>SC-2048</v>
      </c>
      <c r="B50" s="8" t="n">
        <f aca="false">Scans!E50</f>
        <v>46134</v>
      </c>
      <c r="C50" s="6" t="str">
        <f aca="false">INDEX(ScanTypes!$B$2:$B$6,MATCH(Scans!C50,ScanTypes!$A$2:$A$6,0))</f>
        <v>Prostate Scan</v>
      </c>
      <c r="D50" s="6" t="str">
        <f aca="false">INDEX(Physicians!$B$2:$B$6,MATCH(Scans!D50,Physicians!$A$2:$A$6,0))</f>
        <v>Dr. Molefe</v>
      </c>
      <c r="E50" s="6" t="str">
        <f aca="false">INDEX(Patients!$B$2:$B$31,MATCH(Scans!B50,Patients!$A$2:$A$31,0))</f>
        <v>76+</v>
      </c>
      <c r="F50" s="6" t="str">
        <f aca="false">INDEX(Patients!$C$2:$C$31,MATCH(Scans!B50,Patients!$A$2:$A$31,0))</f>
        <v>F</v>
      </c>
      <c r="G50" s="6" t="str">
        <f aca="false">Scans!F50</f>
        <v>Pending</v>
      </c>
      <c r="H50" s="6" t="str">
        <f aca="false">IF(Scans!G50="","",Scans!G50)</f>
        <v/>
      </c>
    </row>
    <row r="51" customFormat="false" ht="15" hidden="false" customHeight="true" outlineLevel="0" collapsed="false">
      <c r="A51" s="7" t="str">
        <f aca="false">Scans!A51</f>
        <v>SC-2049</v>
      </c>
      <c r="B51" s="9" t="n">
        <f aca="false">Scans!E51</f>
        <v>46163</v>
      </c>
      <c r="C51" s="7" t="str">
        <f aca="false">INDEX(ScanTypes!$B$2:$B$6,MATCH(Scans!C51,ScanTypes!$A$2:$A$6,0))</f>
        <v>Prostate Scan</v>
      </c>
      <c r="D51" s="7" t="str">
        <f aca="false">INDEX(Physicians!$B$2:$B$6,MATCH(Scans!D51,Physicians!$A$2:$A$6,0))</f>
        <v>Dr. van Wyk</v>
      </c>
      <c r="E51" s="7" t="str">
        <f aca="false">INDEX(Patients!$B$2:$B$31,MATCH(Scans!B51,Patients!$A$2:$A$31,0))</f>
        <v>31-45</v>
      </c>
      <c r="F51" s="7" t="str">
        <f aca="false">INDEX(Patients!$C$2:$C$31,MATCH(Scans!B51,Patients!$A$2:$A$31,0))</f>
        <v>F</v>
      </c>
      <c r="G51" s="7" t="str">
        <f aca="false">Scans!F51</f>
        <v>Completed</v>
      </c>
      <c r="H51" s="7" t="n">
        <f aca="false">IF(Scans!G51="","",Scans!G51)</f>
        <v>5</v>
      </c>
    </row>
    <row r="52" customFormat="false" ht="15" hidden="false" customHeight="true" outlineLevel="0" collapsed="false">
      <c r="A52" s="6" t="str">
        <f aca="false">Scans!A52</f>
        <v>SC-2050</v>
      </c>
      <c r="B52" s="8" t="n">
        <f aca="false">Scans!E52</f>
        <v>46182</v>
      </c>
      <c r="C52" s="6" t="str">
        <f aca="false">INDEX(ScanTypes!$B$2:$B$6,MATCH(Scans!C52,ScanTypes!$A$2:$A$6,0))</f>
        <v>Thyroid Scan</v>
      </c>
      <c r="D52" s="6" t="str">
        <f aca="false">INDEX(Physicians!$B$2:$B$6,MATCH(Scans!D52,Physicians!$A$2:$A$6,0))</f>
        <v>Dr. van Wyk</v>
      </c>
      <c r="E52" s="6" t="str">
        <f aca="false">INDEX(Patients!$B$2:$B$31,MATCH(Scans!B52,Patients!$A$2:$A$31,0))</f>
        <v>46-60</v>
      </c>
      <c r="F52" s="6" t="str">
        <f aca="false">INDEX(Patients!$C$2:$C$31,MATCH(Scans!B52,Patients!$A$2:$A$31,0))</f>
        <v>F</v>
      </c>
      <c r="G52" s="6" t="str">
        <f aca="false">Scans!F52</f>
        <v>Completed</v>
      </c>
      <c r="H52" s="6" t="n">
        <f aca="false">IF(Scans!G52="","",Scans!G52)</f>
        <v>7</v>
      </c>
    </row>
    <row r="53" customFormat="false" ht="15" hidden="false" customHeight="true" outlineLevel="0" collapsed="false">
      <c r="A53" s="7" t="str">
        <f aca="false">Scans!A53</f>
        <v>SC-2051</v>
      </c>
      <c r="B53" s="9" t="n">
        <f aca="false">Scans!E53</f>
        <v>46148</v>
      </c>
      <c r="C53" s="7" t="str">
        <f aca="false">INDEX(ScanTypes!$B$2:$B$6,MATCH(Scans!C53,ScanTypes!$A$2:$A$6,0))</f>
        <v>Lung Perfusion Scan</v>
      </c>
      <c r="D53" s="7" t="str">
        <f aca="false">INDEX(Physicians!$B$2:$B$6,MATCH(Scans!D53,Physicians!$A$2:$A$6,0))</f>
        <v>Dr. van Wyk</v>
      </c>
      <c r="E53" s="7" t="str">
        <f aca="false">INDEX(Patients!$B$2:$B$31,MATCH(Scans!B53,Patients!$A$2:$A$31,0))</f>
        <v>76+</v>
      </c>
      <c r="F53" s="7" t="str">
        <f aca="false">INDEX(Patients!$C$2:$C$31,MATCH(Scans!B53,Patients!$A$2:$A$31,0))</f>
        <v>F</v>
      </c>
      <c r="G53" s="7" t="str">
        <f aca="false">Scans!F53</f>
        <v>Completed</v>
      </c>
      <c r="H53" s="7" t="n">
        <f aca="false">IF(Scans!G53="","",Scans!G53)</f>
        <v>1</v>
      </c>
    </row>
    <row r="54" customFormat="false" ht="15" hidden="false" customHeight="true" outlineLevel="0" collapsed="false">
      <c r="A54" s="6" t="str">
        <f aca="false">Scans!A54</f>
        <v>SC-2052</v>
      </c>
      <c r="B54" s="8" t="n">
        <f aca="false">Scans!E54</f>
        <v>46201</v>
      </c>
      <c r="C54" s="6" t="str">
        <f aca="false">INDEX(ScanTypes!$B$2:$B$6,MATCH(Scans!C54,ScanTypes!$A$2:$A$6,0))</f>
        <v>Bone Scan</v>
      </c>
      <c r="D54" s="6" t="str">
        <f aca="false">INDEX(Physicians!$B$2:$B$6,MATCH(Scans!D54,Physicians!$A$2:$A$6,0))</f>
        <v>Dr. Dlamini</v>
      </c>
      <c r="E54" s="6" t="str">
        <f aca="false">INDEX(Patients!$B$2:$B$31,MATCH(Scans!B54,Patients!$A$2:$A$31,0))</f>
        <v>76+</v>
      </c>
      <c r="F54" s="6" t="str">
        <f aca="false">INDEX(Patients!$C$2:$C$31,MATCH(Scans!B54,Patients!$A$2:$A$31,0))</f>
        <v>F</v>
      </c>
      <c r="G54" s="6" t="str">
        <f aca="false">Scans!F54</f>
        <v>Completed</v>
      </c>
      <c r="H54" s="6" t="n">
        <f aca="false">IF(Scans!G54="","",Scans!G54)</f>
        <v>5</v>
      </c>
    </row>
    <row r="55" customFormat="false" ht="15" hidden="false" customHeight="true" outlineLevel="0" collapsed="false">
      <c r="A55" s="7" t="str">
        <f aca="false">Scans!A55</f>
        <v>SC-2053</v>
      </c>
      <c r="B55" s="9" t="n">
        <f aca="false">Scans!E55</f>
        <v>46041</v>
      </c>
      <c r="C55" s="7" t="str">
        <f aca="false">INDEX(ScanTypes!$B$2:$B$6,MATCH(Scans!C55,ScanTypes!$A$2:$A$6,0))</f>
        <v>Bone Scan</v>
      </c>
      <c r="D55" s="7" t="str">
        <f aca="false">INDEX(Physicians!$B$2:$B$6,MATCH(Scans!D55,Physicians!$A$2:$A$6,0))</f>
        <v>Dr. Molefe</v>
      </c>
      <c r="E55" s="7" t="str">
        <f aca="false">INDEX(Patients!$B$2:$B$31,MATCH(Scans!B55,Patients!$A$2:$A$31,0))</f>
        <v>31-45</v>
      </c>
      <c r="F55" s="7" t="str">
        <f aca="false">INDEX(Patients!$C$2:$C$31,MATCH(Scans!B55,Patients!$A$2:$A$31,0))</f>
        <v>F</v>
      </c>
      <c r="G55" s="7" t="str">
        <f aca="false">Scans!F55</f>
        <v>Completed</v>
      </c>
      <c r="H55" s="7" t="n">
        <f aca="false">IF(Scans!G55="","",Scans!G55)</f>
        <v>3</v>
      </c>
    </row>
    <row r="56" customFormat="false" ht="15" hidden="false" customHeight="true" outlineLevel="0" collapsed="false">
      <c r="A56" s="6" t="str">
        <f aca="false">Scans!A56</f>
        <v>SC-2054</v>
      </c>
      <c r="B56" s="8" t="n">
        <f aca="false">Scans!E56</f>
        <v>46142</v>
      </c>
      <c r="C56" s="6" t="str">
        <f aca="false">INDEX(ScanTypes!$B$2:$B$6,MATCH(Scans!C56,ScanTypes!$A$2:$A$6,0))</f>
        <v>Bone Scan</v>
      </c>
      <c r="D56" s="6" t="str">
        <f aca="false">INDEX(Physicians!$B$2:$B$6,MATCH(Scans!D56,Physicians!$A$2:$A$6,0))</f>
        <v>Dr. Molefe</v>
      </c>
      <c r="E56" s="6" t="str">
        <f aca="false">INDEX(Patients!$B$2:$B$31,MATCH(Scans!B56,Patients!$A$2:$A$31,0))</f>
        <v>61-75</v>
      </c>
      <c r="F56" s="6" t="str">
        <f aca="false">INDEX(Patients!$C$2:$C$31,MATCH(Scans!B56,Patients!$A$2:$A$31,0))</f>
        <v>F</v>
      </c>
      <c r="G56" s="6" t="str">
        <f aca="false">Scans!F56</f>
        <v>Completed</v>
      </c>
      <c r="H56" s="6" t="n">
        <f aca="false">IF(Scans!G56="","",Scans!G56)</f>
        <v>7</v>
      </c>
    </row>
    <row r="57" customFormat="false" ht="15" hidden="false" customHeight="true" outlineLevel="0" collapsed="false">
      <c r="A57" s="7" t="str">
        <f aca="false">Scans!A57</f>
        <v>SC-2055</v>
      </c>
      <c r="B57" s="9" t="n">
        <f aca="false">Scans!E57</f>
        <v>46110</v>
      </c>
      <c r="C57" s="7" t="str">
        <f aca="false">INDEX(ScanTypes!$B$2:$B$6,MATCH(Scans!C57,ScanTypes!$A$2:$A$6,0))</f>
        <v>Bone Scan</v>
      </c>
      <c r="D57" s="7" t="str">
        <f aca="false">INDEX(Physicians!$B$2:$B$6,MATCH(Scans!D57,Physicians!$A$2:$A$6,0))</f>
        <v>Dr. Pretorius</v>
      </c>
      <c r="E57" s="7" t="str">
        <f aca="false">INDEX(Patients!$B$2:$B$31,MATCH(Scans!B57,Patients!$A$2:$A$31,0))</f>
        <v>31-45</v>
      </c>
      <c r="F57" s="7" t="str">
        <f aca="false">INDEX(Patients!$C$2:$C$31,MATCH(Scans!B57,Patients!$A$2:$A$31,0))</f>
        <v>F</v>
      </c>
      <c r="G57" s="7" t="str">
        <f aca="false">Scans!F57</f>
        <v>Completed</v>
      </c>
      <c r="H57" s="7" t="n">
        <f aca="false">IF(Scans!G57="","",Scans!G57)</f>
        <v>5</v>
      </c>
    </row>
    <row r="58" customFormat="false" ht="15" hidden="false" customHeight="true" outlineLevel="0" collapsed="false">
      <c r="A58" s="6" t="str">
        <f aca="false">Scans!A58</f>
        <v>SC-2056</v>
      </c>
      <c r="B58" s="8" t="n">
        <f aca="false">Scans!E58</f>
        <v>46204</v>
      </c>
      <c r="C58" s="6" t="str">
        <f aca="false">INDEX(ScanTypes!$B$2:$B$6,MATCH(Scans!C58,ScanTypes!$A$2:$A$6,0))</f>
        <v>Prostate Scan</v>
      </c>
      <c r="D58" s="6" t="str">
        <f aca="false">INDEX(Physicians!$B$2:$B$6,MATCH(Scans!D58,Physicians!$A$2:$A$6,0))</f>
        <v>Dr. van Wyk</v>
      </c>
      <c r="E58" s="6" t="str">
        <f aca="false">INDEX(Patients!$B$2:$B$31,MATCH(Scans!B58,Patients!$A$2:$A$31,0))</f>
        <v>46-60</v>
      </c>
      <c r="F58" s="6" t="str">
        <f aca="false">INDEX(Patients!$C$2:$C$31,MATCH(Scans!B58,Patients!$A$2:$A$31,0))</f>
        <v>F</v>
      </c>
      <c r="G58" s="6" t="str">
        <f aca="false">Scans!F58</f>
        <v>Completed</v>
      </c>
      <c r="H58" s="6" t="n">
        <f aca="false">IF(Scans!G58="","",Scans!G58)</f>
        <v>5</v>
      </c>
    </row>
    <row r="59" customFormat="false" ht="15" hidden="false" customHeight="true" outlineLevel="0" collapsed="false">
      <c r="A59" s="7" t="str">
        <f aca="false">Scans!A59</f>
        <v>SC-2057</v>
      </c>
      <c r="B59" s="9" t="n">
        <f aca="false">Scans!E59</f>
        <v>46268</v>
      </c>
      <c r="C59" s="7" t="str">
        <f aca="false">INDEX(ScanTypes!$B$2:$B$6,MATCH(Scans!C59,ScanTypes!$A$2:$A$6,0))</f>
        <v>Thyroid Scan</v>
      </c>
      <c r="D59" s="7" t="str">
        <f aca="false">INDEX(Physicians!$B$2:$B$6,MATCH(Scans!D59,Physicians!$A$2:$A$6,0))</f>
        <v>Dr. Molefe</v>
      </c>
      <c r="E59" s="7" t="str">
        <f aca="false">INDEX(Patients!$B$2:$B$31,MATCH(Scans!B59,Patients!$A$2:$A$31,0))</f>
        <v>76+</v>
      </c>
      <c r="F59" s="7" t="str">
        <f aca="false">INDEX(Patients!$C$2:$C$31,MATCH(Scans!B59,Patients!$A$2:$A$31,0))</f>
        <v>F</v>
      </c>
      <c r="G59" s="7" t="str">
        <f aca="false">Scans!F59</f>
        <v>Completed</v>
      </c>
      <c r="H59" s="7" t="n">
        <f aca="false">IF(Scans!G59="","",Scans!G59)</f>
        <v>5</v>
      </c>
    </row>
    <row r="60" customFormat="false" ht="15" hidden="false" customHeight="true" outlineLevel="0" collapsed="false">
      <c r="A60" s="6" t="str">
        <f aca="false">Scans!A60</f>
        <v>SC-2058</v>
      </c>
      <c r="B60" s="8" t="n">
        <f aca="false">Scans!E60</f>
        <v>46255</v>
      </c>
      <c r="C60" s="6" t="str">
        <f aca="false">INDEX(ScanTypes!$B$2:$B$6,MATCH(Scans!C60,ScanTypes!$A$2:$A$6,0))</f>
        <v>Myocardial Perfusion Study</v>
      </c>
      <c r="D60" s="6" t="str">
        <f aca="false">INDEX(Physicians!$B$2:$B$6,MATCH(Scans!D60,Physicians!$A$2:$A$6,0))</f>
        <v>Dr. Molefe</v>
      </c>
      <c r="E60" s="6" t="str">
        <f aca="false">INDEX(Patients!$B$2:$B$31,MATCH(Scans!B60,Patients!$A$2:$A$31,0))</f>
        <v>31-45</v>
      </c>
      <c r="F60" s="6" t="str">
        <f aca="false">INDEX(Patients!$C$2:$C$31,MATCH(Scans!B60,Patients!$A$2:$A$31,0))</f>
        <v>F</v>
      </c>
      <c r="G60" s="6" t="str">
        <f aca="false">Scans!F60</f>
        <v>Cancelled</v>
      </c>
      <c r="H60" s="6" t="str">
        <f aca="false">IF(Scans!G60="","",Scans!G60)</f>
        <v/>
      </c>
    </row>
    <row r="61" customFormat="false" ht="15" hidden="false" customHeight="true" outlineLevel="0" collapsed="false">
      <c r="A61" s="7" t="str">
        <f aca="false">Scans!A61</f>
        <v>SC-2059</v>
      </c>
      <c r="B61" s="9" t="n">
        <f aca="false">Scans!E61</f>
        <v>46133</v>
      </c>
      <c r="C61" s="7" t="str">
        <f aca="false">INDEX(ScanTypes!$B$2:$B$6,MATCH(Scans!C61,ScanTypes!$A$2:$A$6,0))</f>
        <v>Thyroid Scan</v>
      </c>
      <c r="D61" s="7" t="str">
        <f aca="false">INDEX(Physicians!$B$2:$B$6,MATCH(Scans!D61,Physicians!$A$2:$A$6,0))</f>
        <v>Dr. van Wyk</v>
      </c>
      <c r="E61" s="7" t="str">
        <f aca="false">INDEX(Patients!$B$2:$B$31,MATCH(Scans!B61,Patients!$A$2:$A$31,0))</f>
        <v>46-60</v>
      </c>
      <c r="F61" s="7" t="str">
        <f aca="false">INDEX(Patients!$C$2:$C$31,MATCH(Scans!B61,Patients!$A$2:$A$31,0))</f>
        <v>M</v>
      </c>
      <c r="G61" s="7" t="str">
        <f aca="false">Scans!F61</f>
        <v>Completed</v>
      </c>
      <c r="H61" s="7" t="n">
        <f aca="false">IF(Scans!G61="","",Scans!G61)</f>
        <v>4</v>
      </c>
    </row>
    <row r="62" customFormat="false" ht="15" hidden="false" customHeight="true" outlineLevel="0" collapsed="false">
      <c r="A62" s="6" t="str">
        <f aca="false">Scans!A62</f>
        <v>SC-2060</v>
      </c>
      <c r="B62" s="8" t="n">
        <f aca="false">Scans!E62</f>
        <v>46136</v>
      </c>
      <c r="C62" s="6" t="str">
        <f aca="false">INDEX(ScanTypes!$B$2:$B$6,MATCH(Scans!C62,ScanTypes!$A$2:$A$6,0))</f>
        <v>Bone Scan</v>
      </c>
      <c r="D62" s="6" t="str">
        <f aca="false">INDEX(Physicians!$B$2:$B$6,MATCH(Scans!D62,Physicians!$A$2:$A$6,0))</f>
        <v>Dr. van Wyk</v>
      </c>
      <c r="E62" s="6" t="str">
        <f aca="false">INDEX(Patients!$B$2:$B$31,MATCH(Scans!B62,Patients!$A$2:$A$31,0))</f>
        <v>31-45</v>
      </c>
      <c r="F62" s="6" t="str">
        <f aca="false">INDEX(Patients!$C$2:$C$31,MATCH(Scans!B62,Patients!$A$2:$A$31,0))</f>
        <v>F</v>
      </c>
      <c r="G62" s="6" t="str">
        <f aca="false">Scans!F62</f>
        <v>Completed</v>
      </c>
      <c r="H62" s="6" t="n">
        <f aca="false">IF(Scans!G62="","",Scans!G62)</f>
        <v>6</v>
      </c>
    </row>
    <row r="63" customFormat="false" ht="15" hidden="false" customHeight="true" outlineLevel="0" collapsed="false">
      <c r="A63" s="7" t="str">
        <f aca="false">Scans!A63</f>
        <v>SC-2061</v>
      </c>
      <c r="B63" s="9" t="n">
        <f aca="false">Scans!E63</f>
        <v>46267</v>
      </c>
      <c r="C63" s="7" t="str">
        <f aca="false">INDEX(ScanTypes!$B$2:$B$6,MATCH(Scans!C63,ScanTypes!$A$2:$A$6,0))</f>
        <v>Bone Scan</v>
      </c>
      <c r="D63" s="7" t="str">
        <f aca="false">INDEX(Physicians!$B$2:$B$6,MATCH(Scans!D63,Physicians!$A$2:$A$6,0))</f>
        <v>Dr. van Wyk</v>
      </c>
      <c r="E63" s="7" t="str">
        <f aca="false">INDEX(Patients!$B$2:$B$31,MATCH(Scans!B63,Patients!$A$2:$A$31,0))</f>
        <v>18-30</v>
      </c>
      <c r="F63" s="7" t="str">
        <f aca="false">INDEX(Patients!$C$2:$C$31,MATCH(Scans!B63,Patients!$A$2:$A$31,0))</f>
        <v>F</v>
      </c>
      <c r="G63" s="7" t="str">
        <f aca="false">Scans!F63</f>
        <v>Completed</v>
      </c>
      <c r="H63" s="7" t="n">
        <f aca="false">IF(Scans!G63="","",Scans!G63)</f>
        <v>6</v>
      </c>
    </row>
    <row r="64" customFormat="false" ht="15" hidden="false" customHeight="true" outlineLevel="0" collapsed="false">
      <c r="A64" s="6" t="str">
        <f aca="false">Scans!A64</f>
        <v>SC-2062</v>
      </c>
      <c r="B64" s="8" t="n">
        <f aca="false">Scans!E64</f>
        <v>46253</v>
      </c>
      <c r="C64" s="6" t="str">
        <f aca="false">INDEX(ScanTypes!$B$2:$B$6,MATCH(Scans!C64,ScanTypes!$A$2:$A$6,0))</f>
        <v>Lung Perfusion Scan</v>
      </c>
      <c r="D64" s="6" t="str">
        <f aca="false">INDEX(Physicians!$B$2:$B$6,MATCH(Scans!D64,Physicians!$A$2:$A$6,0))</f>
        <v>Dr. Dlamini</v>
      </c>
      <c r="E64" s="6" t="str">
        <f aca="false">INDEX(Patients!$B$2:$B$31,MATCH(Scans!B64,Patients!$A$2:$A$31,0))</f>
        <v>76+</v>
      </c>
      <c r="F64" s="6" t="str">
        <f aca="false">INDEX(Patients!$C$2:$C$31,MATCH(Scans!B64,Patients!$A$2:$A$31,0))</f>
        <v>M</v>
      </c>
      <c r="G64" s="6" t="str">
        <f aca="false">Scans!F64</f>
        <v>Completed</v>
      </c>
      <c r="H64" s="6" t="n">
        <f aca="false">IF(Scans!G64="","",Scans!G64)</f>
        <v>4</v>
      </c>
    </row>
    <row r="65" customFormat="false" ht="15" hidden="false" customHeight="true" outlineLevel="0" collapsed="false">
      <c r="A65" s="7" t="str">
        <f aca="false">Scans!A65</f>
        <v>SC-2063</v>
      </c>
      <c r="B65" s="9" t="n">
        <f aca="false">Scans!E65</f>
        <v>46253</v>
      </c>
      <c r="C65" s="7" t="str">
        <f aca="false">INDEX(ScanTypes!$B$2:$B$6,MATCH(Scans!C65,ScanTypes!$A$2:$A$6,0))</f>
        <v>Bone Scan</v>
      </c>
      <c r="D65" s="7" t="str">
        <f aca="false">INDEX(Physicians!$B$2:$B$6,MATCH(Scans!D65,Physicians!$A$2:$A$6,0))</f>
        <v>Dr. Pretorius</v>
      </c>
      <c r="E65" s="7" t="str">
        <f aca="false">INDEX(Patients!$B$2:$B$31,MATCH(Scans!B65,Patients!$A$2:$A$31,0))</f>
        <v>18-30</v>
      </c>
      <c r="F65" s="7" t="str">
        <f aca="false">INDEX(Patients!$C$2:$C$31,MATCH(Scans!B65,Patients!$A$2:$A$31,0))</f>
        <v>F</v>
      </c>
      <c r="G65" s="7" t="str">
        <f aca="false">Scans!F65</f>
        <v>Completed</v>
      </c>
      <c r="H65" s="7" t="n">
        <f aca="false">IF(Scans!G65="","",Scans!G65)</f>
        <v>6</v>
      </c>
    </row>
    <row r="66" customFormat="false" ht="15" hidden="false" customHeight="true" outlineLevel="0" collapsed="false">
      <c r="A66" s="6" t="str">
        <f aca="false">Scans!A66</f>
        <v>SC-2064</v>
      </c>
      <c r="B66" s="8" t="n">
        <f aca="false">Scans!E66</f>
        <v>46207</v>
      </c>
      <c r="C66" s="6" t="str">
        <f aca="false">INDEX(ScanTypes!$B$2:$B$6,MATCH(Scans!C66,ScanTypes!$A$2:$A$6,0))</f>
        <v>Lung Perfusion Scan</v>
      </c>
      <c r="D66" s="6" t="str">
        <f aca="false">INDEX(Physicians!$B$2:$B$6,MATCH(Scans!D66,Physicians!$A$2:$A$6,0))</f>
        <v>Dr. van Wyk</v>
      </c>
      <c r="E66" s="6" t="str">
        <f aca="false">INDEX(Patients!$B$2:$B$31,MATCH(Scans!B66,Patients!$A$2:$A$31,0))</f>
        <v>46-60</v>
      </c>
      <c r="F66" s="6" t="str">
        <f aca="false">INDEX(Patients!$C$2:$C$31,MATCH(Scans!B66,Patients!$A$2:$A$31,0))</f>
        <v>M</v>
      </c>
      <c r="G66" s="6" t="str">
        <f aca="false">Scans!F66</f>
        <v>Completed</v>
      </c>
      <c r="H66" s="6" t="n">
        <f aca="false">IF(Scans!G66="","",Scans!G66)</f>
        <v>5</v>
      </c>
    </row>
    <row r="67" customFormat="false" ht="15" hidden="false" customHeight="true" outlineLevel="0" collapsed="false">
      <c r="A67" s="7" t="str">
        <f aca="false">Scans!A67</f>
        <v>SC-2065</v>
      </c>
      <c r="B67" s="9" t="n">
        <f aca="false">Scans!E67</f>
        <v>46077</v>
      </c>
      <c r="C67" s="7" t="str">
        <f aca="false">INDEX(ScanTypes!$B$2:$B$6,MATCH(Scans!C67,ScanTypes!$A$2:$A$6,0))</f>
        <v>Myocardial Perfusion Study</v>
      </c>
      <c r="D67" s="7" t="str">
        <f aca="false">INDEX(Physicians!$B$2:$B$6,MATCH(Scans!D67,Physicians!$A$2:$A$6,0))</f>
        <v>Dr. Pretorius</v>
      </c>
      <c r="E67" s="7" t="str">
        <f aca="false">INDEX(Patients!$B$2:$B$31,MATCH(Scans!B67,Patients!$A$2:$A$31,0))</f>
        <v>18-30</v>
      </c>
      <c r="F67" s="7" t="str">
        <f aca="false">INDEX(Patients!$C$2:$C$31,MATCH(Scans!B67,Patients!$A$2:$A$31,0))</f>
        <v>F</v>
      </c>
      <c r="G67" s="7" t="str">
        <f aca="false">Scans!F67</f>
        <v>Completed</v>
      </c>
      <c r="H67" s="7" t="n">
        <f aca="false">IF(Scans!G67="","",Scans!G67)</f>
        <v>1</v>
      </c>
    </row>
    <row r="68" customFormat="false" ht="15" hidden="false" customHeight="true" outlineLevel="0" collapsed="false">
      <c r="A68" s="6" t="str">
        <f aca="false">Scans!A68</f>
        <v>SC-2066</v>
      </c>
      <c r="B68" s="8" t="n">
        <f aca="false">Scans!E68</f>
        <v>46113</v>
      </c>
      <c r="C68" s="6" t="str">
        <f aca="false">INDEX(ScanTypes!$B$2:$B$6,MATCH(Scans!C68,ScanTypes!$A$2:$A$6,0))</f>
        <v>Myocardial Perfusion Study</v>
      </c>
      <c r="D68" s="6" t="str">
        <f aca="false">INDEX(Physicians!$B$2:$B$6,MATCH(Scans!D68,Physicians!$A$2:$A$6,0))</f>
        <v>Dr. Nkosi</v>
      </c>
      <c r="E68" s="6" t="str">
        <f aca="false">INDEX(Patients!$B$2:$B$31,MATCH(Scans!B68,Patients!$A$2:$A$31,0))</f>
        <v>61-75</v>
      </c>
      <c r="F68" s="6" t="str">
        <f aca="false">INDEX(Patients!$C$2:$C$31,MATCH(Scans!B68,Patients!$A$2:$A$31,0))</f>
        <v>M</v>
      </c>
      <c r="G68" s="6" t="str">
        <f aca="false">Scans!F68</f>
        <v>Completed</v>
      </c>
      <c r="H68" s="6" t="n">
        <f aca="false">IF(Scans!G68="","",Scans!G68)</f>
        <v>4</v>
      </c>
    </row>
    <row r="69" customFormat="false" ht="15" hidden="false" customHeight="true" outlineLevel="0" collapsed="false">
      <c r="A69" s="7" t="str">
        <f aca="false">Scans!A69</f>
        <v>SC-2067</v>
      </c>
      <c r="B69" s="9" t="n">
        <f aca="false">Scans!E69</f>
        <v>46111</v>
      </c>
      <c r="C69" s="7" t="str">
        <f aca="false">INDEX(ScanTypes!$B$2:$B$6,MATCH(Scans!C69,ScanTypes!$A$2:$A$6,0))</f>
        <v>Bone Scan</v>
      </c>
      <c r="D69" s="7" t="str">
        <f aca="false">INDEX(Physicians!$B$2:$B$6,MATCH(Scans!D69,Physicians!$A$2:$A$6,0))</f>
        <v>Dr. Pretorius</v>
      </c>
      <c r="E69" s="7" t="str">
        <f aca="false">INDEX(Patients!$B$2:$B$31,MATCH(Scans!B69,Patients!$A$2:$A$31,0))</f>
        <v>76+</v>
      </c>
      <c r="F69" s="7" t="str">
        <f aca="false">INDEX(Patients!$C$2:$C$31,MATCH(Scans!B69,Patients!$A$2:$A$31,0))</f>
        <v>F</v>
      </c>
      <c r="G69" s="7" t="str">
        <f aca="false">Scans!F69</f>
        <v>Completed</v>
      </c>
      <c r="H69" s="7" t="n">
        <f aca="false">IF(Scans!G69="","",Scans!G69)</f>
        <v>3</v>
      </c>
    </row>
    <row r="70" customFormat="false" ht="15" hidden="false" customHeight="true" outlineLevel="0" collapsed="false">
      <c r="A70" s="6" t="str">
        <f aca="false">Scans!A70</f>
        <v>SC-2068</v>
      </c>
      <c r="B70" s="8" t="n">
        <f aca="false">Scans!E70</f>
        <v>46262</v>
      </c>
      <c r="C70" s="6" t="str">
        <f aca="false">INDEX(ScanTypes!$B$2:$B$6,MATCH(Scans!C70,ScanTypes!$A$2:$A$6,0))</f>
        <v>Bone Scan</v>
      </c>
      <c r="D70" s="6" t="str">
        <f aca="false">INDEX(Physicians!$B$2:$B$6,MATCH(Scans!D70,Physicians!$A$2:$A$6,0))</f>
        <v>Dr. Nkosi</v>
      </c>
      <c r="E70" s="6" t="str">
        <f aca="false">INDEX(Patients!$B$2:$B$31,MATCH(Scans!B70,Patients!$A$2:$A$31,0))</f>
        <v>76+</v>
      </c>
      <c r="F70" s="6" t="str">
        <f aca="false">INDEX(Patients!$C$2:$C$31,MATCH(Scans!B70,Patients!$A$2:$A$31,0))</f>
        <v>M</v>
      </c>
      <c r="G70" s="6" t="str">
        <f aca="false">Scans!F70</f>
        <v>Pending</v>
      </c>
      <c r="H70" s="6" t="str">
        <f aca="false">IF(Scans!G70="","",Scans!G70)</f>
        <v/>
      </c>
    </row>
    <row r="71" customFormat="false" ht="15" hidden="false" customHeight="true" outlineLevel="0" collapsed="false">
      <c r="A71" s="7" t="str">
        <f aca="false">Scans!A71</f>
        <v>SC-2069</v>
      </c>
      <c r="B71" s="9" t="n">
        <f aca="false">Scans!E71</f>
        <v>46094</v>
      </c>
      <c r="C71" s="7" t="str">
        <f aca="false">INDEX(ScanTypes!$B$2:$B$6,MATCH(Scans!C71,ScanTypes!$A$2:$A$6,0))</f>
        <v>Bone Scan</v>
      </c>
      <c r="D71" s="7" t="str">
        <f aca="false">INDEX(Physicians!$B$2:$B$6,MATCH(Scans!D71,Physicians!$A$2:$A$6,0))</f>
        <v>Dr. Nkosi</v>
      </c>
      <c r="E71" s="7" t="str">
        <f aca="false">INDEX(Patients!$B$2:$B$31,MATCH(Scans!B71,Patients!$A$2:$A$31,0))</f>
        <v>31-45</v>
      </c>
      <c r="F71" s="7" t="str">
        <f aca="false">INDEX(Patients!$C$2:$C$31,MATCH(Scans!B71,Patients!$A$2:$A$31,0))</f>
        <v>F</v>
      </c>
      <c r="G71" s="7" t="str">
        <f aca="false">Scans!F71</f>
        <v>Completed</v>
      </c>
      <c r="H71" s="7" t="n">
        <f aca="false">IF(Scans!G71="","",Scans!G71)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15" hidden="false" customHeight="true" outlineLevel="0" collapsed="false">
      <c r="A1" s="10" t="s">
        <v>171</v>
      </c>
      <c r="B1" s="10"/>
    </row>
    <row r="2" customFormat="false" ht="15" hidden="false" customHeight="true" outlineLevel="0" collapsed="false">
      <c r="A2" s="11" t="s">
        <v>166</v>
      </c>
      <c r="B2" s="11" t="s">
        <v>172</v>
      </c>
    </row>
    <row r="3" customFormat="false" ht="15" hidden="false" customHeight="true" outlineLevel="0" collapsed="false">
      <c r="A3" s="12" t="s">
        <v>40</v>
      </c>
      <c r="B3" s="12" t="n">
        <f aca="false">COUNTIFS('Scan Details (Query View)'!$C$2:$C$71,A3,'Scan Details (Query View)'!$G$2:$G$71,"Completed")</f>
        <v>17</v>
      </c>
    </row>
    <row r="4" customFormat="false" ht="15" hidden="false" customHeight="true" outlineLevel="0" collapsed="false">
      <c r="A4" s="12" t="s">
        <v>42</v>
      </c>
      <c r="B4" s="12" t="n">
        <f aca="false">COUNTIFS('Scan Details (Query View)'!$C$2:$C$71,A4,'Scan Details (Query View)'!$G$2:$G$71,"Completed")</f>
        <v>15</v>
      </c>
    </row>
    <row r="5" customFormat="false" ht="15" hidden="false" customHeight="true" outlineLevel="0" collapsed="false">
      <c r="A5" s="12" t="s">
        <v>44</v>
      </c>
      <c r="B5" s="12" t="n">
        <f aca="false">COUNTIFS('Scan Details (Query View)'!$C$2:$C$71,A5,'Scan Details (Query View)'!$G$2:$G$71,"Completed")</f>
        <v>8</v>
      </c>
    </row>
    <row r="6" customFormat="false" ht="15" hidden="false" customHeight="true" outlineLevel="0" collapsed="false">
      <c r="A6" s="12" t="s">
        <v>46</v>
      </c>
      <c r="B6" s="12" t="n">
        <f aca="false">COUNTIFS('Scan Details (Query View)'!$C$2:$C$71,A6,'Scan Details (Query View)'!$G$2:$G$71,"Completed")</f>
        <v>11</v>
      </c>
    </row>
    <row r="7" customFormat="false" ht="15" hidden="false" customHeight="true" outlineLevel="0" collapsed="false">
      <c r="A7" s="12" t="s">
        <v>48</v>
      </c>
      <c r="B7" s="12" t="n">
        <f aca="false">COUNTIFS('Scan Details (Query View)'!$C$2:$C$71,A7,'Scan Details (Query View)'!$G$2:$G$71,"Completed")</f>
        <v>5</v>
      </c>
    </row>
    <row r="9" customFormat="false" ht="15" hidden="false" customHeight="true" outlineLevel="0" collapsed="false">
      <c r="A9" s="10" t="s">
        <v>173</v>
      </c>
      <c r="B9" s="10"/>
    </row>
    <row r="10" customFormat="false" ht="15" hidden="false" customHeight="true" outlineLevel="0" collapsed="false">
      <c r="A10" s="11" t="s">
        <v>174</v>
      </c>
      <c r="B10" s="11" t="s">
        <v>175</v>
      </c>
    </row>
    <row r="11" customFormat="false" ht="15" hidden="false" customHeight="true" outlineLevel="0" collapsed="false">
      <c r="A11" s="12" t="s">
        <v>58</v>
      </c>
      <c r="B11" s="12" t="n">
        <f aca="false">COUNTIFS('Scan Details (Query View)'!$E$2:$E$71,A11)</f>
        <v>14</v>
      </c>
    </row>
    <row r="12" customFormat="false" ht="15" hidden="false" customHeight="true" outlineLevel="0" collapsed="false">
      <c r="A12" s="12" t="s">
        <v>69</v>
      </c>
      <c r="B12" s="12" t="n">
        <f aca="false">COUNTIFS('Scan Details (Query View)'!$E$2:$E$71,A12)</f>
        <v>13</v>
      </c>
    </row>
    <row r="13" customFormat="false" ht="15" hidden="false" customHeight="true" outlineLevel="0" collapsed="false">
      <c r="A13" s="12" t="s">
        <v>53</v>
      </c>
      <c r="B13" s="12" t="n">
        <f aca="false">COUNTIFS('Scan Details (Query View)'!$E$2:$E$71,A13)</f>
        <v>15</v>
      </c>
    </row>
    <row r="14" customFormat="false" ht="15" hidden="false" customHeight="true" outlineLevel="0" collapsed="false">
      <c r="A14" s="12" t="s">
        <v>56</v>
      </c>
      <c r="B14" s="12" t="n">
        <f aca="false">COUNTIFS('Scan Details (Query View)'!$E$2:$E$71,A14)</f>
        <v>5</v>
      </c>
    </row>
    <row r="15" customFormat="false" ht="15" hidden="false" customHeight="true" outlineLevel="0" collapsed="false">
      <c r="A15" s="12" t="s">
        <v>61</v>
      </c>
      <c r="B15" s="12" t="n">
        <f aca="false">COUNTIFS('Scan Details (Query View)'!$E$2:$E$71,A15)</f>
        <v>23</v>
      </c>
    </row>
  </sheetData>
  <mergeCells count="2">
    <mergeCell ref="A1:B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2026-09-19T17:32:37Z</dcterms:created>
  <dc:creator>openpyxl</dc:creator>
  <dc:description/>
  <dc:language>en-US</dc:language>
  <cp:lastModifiedBy/>
  <dcterms:modified xsi:type="dcterms:W3CDTF">2026-09-19T17:32:55Z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